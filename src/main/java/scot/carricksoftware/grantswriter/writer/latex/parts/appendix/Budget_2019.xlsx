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1209cd51904c30/"/>
    </mc:Choice>
  </mc:AlternateContent>
  <xr:revisionPtr revIDLastSave="0" documentId="8_{8E148FB7-CB55-7442-9CCA-9791D59B8F77}" xr6:coauthVersionLast="45" xr6:coauthVersionMax="45" xr10:uidLastSave="{00000000-0000-0000-0000-000000000000}"/>
  <bookViews>
    <workbookView xWindow="0" yWindow="460" windowWidth="28800" windowHeight="17540"/>
  </bookViews>
  <sheets>
    <sheet name="June" sheetId="1" r:id="rId1"/>
    <sheet name="July" sheetId="2" r:id="rId2"/>
    <sheet name="August" sheetId="3" r:id="rId3"/>
    <sheet name="September" sheetId="4" r:id="rId4"/>
    <sheet name="October" sheetId="5" r:id="rId5"/>
    <sheet name="November" sheetId="6" r:id="rId6"/>
    <sheet name="December" sheetId="7" r:id="rId7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7" l="1"/>
  <c r="B29" i="7" s="1"/>
  <c r="B2" i="6"/>
  <c r="B2" i="5"/>
  <c r="B2" i="4"/>
  <c r="B2" i="3"/>
  <c r="B36" i="7"/>
  <c r="B35" i="7"/>
  <c r="D26" i="7"/>
  <c r="D25" i="7"/>
  <c r="C25" i="7"/>
  <c r="C24" i="7"/>
  <c r="D24" i="7" s="1"/>
  <c r="D23" i="7"/>
  <c r="C23" i="7"/>
  <c r="D22" i="7"/>
  <c r="C22" i="7"/>
  <c r="D21" i="7"/>
  <c r="C21" i="7"/>
  <c r="D20" i="7"/>
  <c r="D19" i="7"/>
  <c r="D18" i="7"/>
  <c r="C17" i="7"/>
  <c r="D17" i="7" s="1"/>
  <c r="D16" i="7"/>
  <c r="D15" i="7"/>
  <c r="C14" i="7"/>
  <c r="D14" i="7" s="1"/>
  <c r="C13" i="7"/>
  <c r="D13" i="7" s="1"/>
  <c r="D12" i="7"/>
  <c r="D11" i="7"/>
  <c r="C11" i="7"/>
  <c r="D10" i="7"/>
  <c r="C10" i="7"/>
  <c r="D9" i="7"/>
  <c r="D8" i="7"/>
  <c r="D7" i="7"/>
  <c r="D6" i="7"/>
  <c r="D5" i="7"/>
  <c r="C4" i="7"/>
  <c r="D4" i="7" s="1"/>
  <c r="D3" i="7"/>
  <c r="D2" i="7"/>
  <c r="C2" i="7"/>
  <c r="C29" i="7" s="1"/>
  <c r="B28" i="6"/>
  <c r="D25" i="6"/>
  <c r="C25" i="6"/>
  <c r="D24" i="6"/>
  <c r="C24" i="6"/>
  <c r="C23" i="6"/>
  <c r="D23" i="6" s="1"/>
  <c r="D22" i="6"/>
  <c r="C22" i="6"/>
  <c r="D21" i="6"/>
  <c r="C21" i="6"/>
  <c r="D20" i="6"/>
  <c r="D19" i="6"/>
  <c r="D18" i="6"/>
  <c r="C17" i="6"/>
  <c r="D17" i="6" s="1"/>
  <c r="D16" i="6"/>
  <c r="D15" i="6"/>
  <c r="C15" i="6"/>
  <c r="D14" i="6"/>
  <c r="C13" i="6"/>
  <c r="D13" i="6" s="1"/>
  <c r="C12" i="6"/>
  <c r="D12" i="6" s="1"/>
  <c r="C11" i="6"/>
  <c r="D11" i="6" s="1"/>
  <c r="D10" i="6"/>
  <c r="D9" i="6"/>
  <c r="D8" i="6"/>
  <c r="D7" i="6"/>
  <c r="C7" i="6"/>
  <c r="D6" i="6"/>
  <c r="D5" i="6"/>
  <c r="D4" i="6"/>
  <c r="C4" i="6"/>
  <c r="D3" i="6"/>
  <c r="C2" i="6"/>
  <c r="C28" i="6" s="1"/>
  <c r="C24" i="5"/>
  <c r="D24" i="5" s="1"/>
  <c r="C23" i="5"/>
  <c r="D23" i="5" s="1"/>
  <c r="C22" i="5"/>
  <c r="D22" i="5" s="1"/>
  <c r="C21" i="5"/>
  <c r="D21" i="5" s="1"/>
  <c r="D20" i="5"/>
  <c r="D19" i="5"/>
  <c r="C19" i="5"/>
  <c r="D18" i="5"/>
  <c r="C17" i="5"/>
  <c r="D17" i="5" s="1"/>
  <c r="D16" i="5"/>
  <c r="D15" i="5"/>
  <c r="C15" i="5"/>
  <c r="D14" i="5"/>
  <c r="D13" i="5"/>
  <c r="D12" i="5"/>
  <c r="C12" i="5"/>
  <c r="D11" i="5"/>
  <c r="C11" i="5"/>
  <c r="D10" i="5"/>
  <c r="C10" i="5"/>
  <c r="D9" i="5"/>
  <c r="D8" i="5"/>
  <c r="D7" i="5"/>
  <c r="D6" i="5"/>
  <c r="D5" i="5"/>
  <c r="B5" i="5"/>
  <c r="B27" i="5" s="1"/>
  <c r="D4" i="5"/>
  <c r="D3" i="5"/>
  <c r="D2" i="5"/>
  <c r="C2" i="5"/>
  <c r="B26" i="4"/>
  <c r="D23" i="4"/>
  <c r="C23" i="4"/>
  <c r="D22" i="4"/>
  <c r="C22" i="4"/>
  <c r="D21" i="4"/>
  <c r="C21" i="4"/>
  <c r="D20" i="4"/>
  <c r="C19" i="4"/>
  <c r="D19" i="4" s="1"/>
  <c r="C18" i="4"/>
  <c r="D18" i="4" s="1"/>
  <c r="C17" i="4"/>
  <c r="D17" i="4" s="1"/>
  <c r="D16" i="4"/>
  <c r="D15" i="4"/>
  <c r="C14" i="4"/>
  <c r="D14" i="4" s="1"/>
  <c r="C13" i="4"/>
  <c r="D13" i="4" s="1"/>
  <c r="D12" i="4"/>
  <c r="D11" i="4"/>
  <c r="C10" i="4"/>
  <c r="D10" i="4" s="1"/>
  <c r="C9" i="4"/>
  <c r="D9" i="4" s="1"/>
  <c r="D8" i="4"/>
  <c r="D7" i="4"/>
  <c r="D6" i="4"/>
  <c r="C5" i="4"/>
  <c r="D5" i="4" s="1"/>
  <c r="D4" i="4"/>
  <c r="C4" i="4"/>
  <c r="D3" i="4"/>
  <c r="C2" i="4"/>
  <c r="C26" i="4" s="1"/>
  <c r="B26" i="3"/>
  <c r="D24" i="3"/>
  <c r="D23" i="3"/>
  <c r="D22" i="3"/>
  <c r="D21" i="3"/>
  <c r="C21" i="3"/>
  <c r="D20" i="3"/>
  <c r="C19" i="3"/>
  <c r="D19" i="3" s="1"/>
  <c r="D18" i="3"/>
  <c r="D17" i="3"/>
  <c r="C17" i="3"/>
  <c r="D16" i="3"/>
  <c r="C16" i="3"/>
  <c r="D15" i="3"/>
  <c r="D14" i="3"/>
  <c r="D13" i="3"/>
  <c r="C12" i="3"/>
  <c r="D12" i="3" s="1"/>
  <c r="D11" i="3"/>
  <c r="D10" i="3"/>
  <c r="C10" i="3"/>
  <c r="C9" i="3"/>
  <c r="D9" i="3" s="1"/>
  <c r="D8" i="3"/>
  <c r="D7" i="3"/>
  <c r="D6" i="3"/>
  <c r="D5" i="3"/>
  <c r="D4" i="3"/>
  <c r="C4" i="3"/>
  <c r="D3" i="3"/>
  <c r="C2" i="3"/>
  <c r="C26" i="3" s="1"/>
  <c r="B31" i="2"/>
  <c r="D29" i="2"/>
  <c r="D28" i="2"/>
  <c r="C27" i="2"/>
  <c r="D27" i="2" s="1"/>
  <c r="D26" i="2"/>
  <c r="D25" i="2"/>
  <c r="C24" i="2"/>
  <c r="D24" i="2" s="1"/>
  <c r="D23" i="2"/>
  <c r="D22" i="2"/>
  <c r="C22" i="2"/>
  <c r="D21" i="2"/>
  <c r="C21" i="2"/>
  <c r="D20" i="2"/>
  <c r="C19" i="2"/>
  <c r="D19" i="2" s="1"/>
  <c r="D18" i="2"/>
  <c r="D17" i="2"/>
  <c r="C17" i="2"/>
  <c r="D16" i="2"/>
  <c r="B16" i="2"/>
  <c r="D15" i="2"/>
  <c r="D14" i="2"/>
  <c r="D13" i="2"/>
  <c r="C13" i="2"/>
  <c r="D12" i="2"/>
  <c r="C12" i="2"/>
  <c r="D11" i="2"/>
  <c r="D10" i="2"/>
  <c r="D9" i="2"/>
  <c r="C8" i="2"/>
  <c r="D8" i="2" s="1"/>
  <c r="D7" i="2"/>
  <c r="D6" i="2"/>
  <c r="D5" i="2"/>
  <c r="D4" i="2"/>
  <c r="C4" i="2"/>
  <c r="D3" i="2"/>
  <c r="C2" i="2"/>
  <c r="C31" i="2" s="1"/>
  <c r="B33" i="1"/>
  <c r="D29" i="1"/>
  <c r="D28" i="1"/>
  <c r="D27" i="1"/>
  <c r="D26" i="1"/>
  <c r="C25" i="1"/>
  <c r="D25" i="1" s="1"/>
  <c r="C24" i="1"/>
  <c r="D24" i="1" s="1"/>
  <c r="C23" i="1"/>
  <c r="D23" i="1" s="1"/>
  <c r="D22" i="1"/>
  <c r="D21" i="1"/>
  <c r="C21" i="1"/>
  <c r="C20" i="1"/>
  <c r="D20" i="1" s="1"/>
  <c r="D19" i="1"/>
  <c r="D18" i="1"/>
  <c r="D17" i="1"/>
  <c r="D16" i="1"/>
  <c r="C16" i="1"/>
  <c r="D15" i="1"/>
  <c r="C14" i="1"/>
  <c r="D14" i="1" s="1"/>
  <c r="D13" i="1"/>
  <c r="D12" i="1"/>
  <c r="D11" i="1"/>
  <c r="C11" i="1"/>
  <c r="D10" i="1"/>
  <c r="D9" i="1"/>
  <c r="D8" i="1"/>
  <c r="D7" i="1"/>
  <c r="D6" i="1"/>
  <c r="D5" i="1"/>
  <c r="D4" i="1"/>
  <c r="D3" i="1"/>
  <c r="C3" i="1"/>
  <c r="C2" i="1"/>
  <c r="C33" i="1" s="1"/>
  <c r="D28" i="7" l="1"/>
  <c r="D29" i="7" s="1"/>
  <c r="D26" i="5"/>
  <c r="D33" i="1"/>
  <c r="D27" i="5"/>
  <c r="D2" i="1"/>
  <c r="D32" i="1" s="1"/>
  <c r="D2" i="6"/>
  <c r="D27" i="6" s="1"/>
  <c r="D28" i="6" s="1"/>
  <c r="D2" i="2"/>
  <c r="D30" i="2" s="1"/>
  <c r="D31" i="2" s="1"/>
  <c r="D2" i="4"/>
  <c r="D25" i="4" s="1"/>
  <c r="D26" i="4" s="1"/>
  <c r="C27" i="5"/>
  <c r="D2" i="3"/>
  <c r="D25" i="3" s="1"/>
  <c r="D26" i="3" s="1"/>
</calcChain>
</file>

<file path=xl/comments1.xml><?xml version="1.0" encoding="utf-8"?>
<comments xmlns="http://schemas.openxmlformats.org/spreadsheetml/2006/main">
  <authors>
    <author/>
  </authors>
  <commentList>
    <comment ref="B33" authorId="0" shapeId="0">
      <text>
        <r>
          <rPr>
            <sz val="10"/>
            <color theme="1"/>
            <rFont val="Liberation Sans"/>
          </rPr>
          <t xml:space="preserve">Aim is to budget for £500 minimum each month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26" authorId="0" shapeId="0">
      <text>
        <r>
          <rPr>
            <sz val="10"/>
            <color theme="1"/>
            <rFont val="Liberation Sans"/>
          </rPr>
          <t xml:space="preserve">£10 per race
</t>
        </r>
      </text>
    </comment>
    <comment ref="B31" authorId="0" shapeId="0">
      <text>
        <r>
          <rPr>
            <sz val="10"/>
            <color theme="1"/>
            <rFont val="Liberation Sans"/>
          </rPr>
          <t xml:space="preserve">Aim is to budget for £50
 minimum each month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26" authorId="0" shapeId="0">
      <text>
        <r>
          <rPr>
            <sz val="10"/>
            <color theme="1"/>
            <rFont val="Liberation Sans"/>
          </rPr>
          <t xml:space="preserve">Aim is to budget for £500 minimum each month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5" authorId="0" shapeId="0">
      <text>
        <r>
          <rPr>
            <sz val="10"/>
            <color theme="1"/>
            <rFont val="Liberation Sans"/>
          </rPr>
          <t>Not certain the exact number</t>
        </r>
      </text>
    </comment>
    <comment ref="B26" authorId="0" shapeId="0">
      <text>
        <r>
          <rPr>
            <sz val="10"/>
            <color theme="1"/>
            <rFont val="Liberation Sans"/>
          </rPr>
          <t xml:space="preserve">Aim is to budget for £500 minimum each month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27" authorId="0" shapeId="0">
      <text>
        <r>
          <rPr>
            <sz val="10"/>
            <color theme="1"/>
            <rFont val="Liberation Sans"/>
          </rPr>
          <t xml:space="preserve">Aim is to budget for £500 minimum each month
</t>
        </r>
      </text>
    </comment>
    <comment ref="C27" authorId="0" shapeId="0">
      <text>
        <r>
          <rPr>
            <sz val="10"/>
            <color theme="1"/>
            <rFont val="Liberation Sans"/>
          </rPr>
          <t xml:space="preserve">Aim is to budget for £500 minimum each month
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B28" authorId="0" shapeId="0">
      <text>
        <r>
          <rPr>
            <sz val="10"/>
            <color theme="1"/>
            <rFont val="Liberation Sans"/>
          </rPr>
          <t xml:space="preserve">Aim is to budget for £500 minimum each month
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B29" authorId="0" shapeId="0">
      <text>
        <r>
          <rPr>
            <sz val="10"/>
            <color theme="1"/>
            <rFont val="Liberation Sans"/>
          </rPr>
          <t xml:space="preserve">Aim is to budget for £500 minimum each month
</t>
        </r>
      </text>
    </comment>
    <comment ref="C29" authorId="0" shapeId="0">
      <text>
        <r>
          <rPr>
            <sz val="10"/>
            <color theme="1"/>
            <rFont val="Liberation Sans"/>
          </rPr>
          <t xml:space="preserve">Aim is to budget for £500 minimum each month
</t>
        </r>
      </text>
    </comment>
  </commentList>
</comments>
</file>

<file path=xl/sharedStrings.xml><?xml version="1.0" encoding="utf-8"?>
<sst xmlns="http://schemas.openxmlformats.org/spreadsheetml/2006/main" count="320" uniqueCount="177">
  <si>
    <t>Item</t>
  </si>
  <si>
    <t>Budget</t>
  </si>
  <si>
    <t>Actual</t>
  </si>
  <si>
    <t>Delta</t>
  </si>
  <si>
    <t>Notes</t>
  </si>
  <si>
    <t>Income</t>
  </si>
  <si>
    <t>Standing Charges etc.</t>
  </si>
  <si>
    <t>Music Lessons</t>
  </si>
  <si>
    <t>Bridge</t>
  </si>
  <si>
    <t>Cash Week 3 June</t>
  </si>
  <si>
    <t>Cash Week 10 June</t>
  </si>
  <si>
    <t>Cash Week 17 June</t>
  </si>
  <si>
    <t>Cash Week 24 June</t>
  </si>
  <si>
    <t>Cash Week 5</t>
  </si>
  <si>
    <t>Petrol</t>
  </si>
  <si>
    <t>Normal + Inverness Trip</t>
  </si>
  <si>
    <t>Plans</t>
  </si>
  <si>
    <t>Amazon Tools</t>
  </si>
  <si>
    <t>Car Insurance</t>
  </si>
  <si>
    <t>Inverness</t>
  </si>
  <si>
    <t>Wine and snacks from Tesco, cash for bar, boat trip, breakfast, extra night</t>
  </si>
  <si>
    <t>Genealogy</t>
  </si>
  <si>
    <t>WRHA</t>
  </si>
  <si>
    <t>Amazon Books</t>
  </si>
  <si>
    <t>History of EW</t>
  </si>
  <si>
    <t>Shopping (Mary weekend away)</t>
  </si>
  <si>
    <t>Fish for tanks</t>
  </si>
  <si>
    <t>8 Black Mollies + new tank light</t>
  </si>
  <si>
    <t>Fish for pond</t>
  </si>
  <si>
    <t>Parts for Pond</t>
  </si>
  <si>
    <t>Screw cups, washers, joins for aluminium tubes, metal for corners + screws and drills, more tubes and fittings+mending plates+more tubes+cable ties</t>
  </si>
  <si>
    <t>Garden</t>
  </si>
  <si>
    <t>Turf, nemaslugs</t>
  </si>
  <si>
    <t>House</t>
  </si>
  <si>
    <t>Paint for ceiling, wooden bead for above door, silver paint, 2 x scotia trims, paint-pots and filler, envelopes, envelopes, new shower, mending plates and WD40, bathroom handle, wallpaper paste and wipes, bathroom wipes,jigsaw blades</t>
  </si>
  <si>
    <t>Italy v Scotland Rugby Tickets</t>
  </si>
  <si>
    <t>Barcelona Flights</t>
  </si>
  <si>
    <t>Mussleburgh Race Tickets</t>
  </si>
  <si>
    <t>Carricksoftware.uk domain</t>
  </si>
  <si>
    <t>Balance at end of month</t>
  </si>
  <si>
    <t>(Plan)</t>
  </si>
  <si>
    <t>(Current)</t>
  </si>
  <si>
    <t>(forecast)</t>
  </si>
  <si>
    <t>Household account</t>
  </si>
  <si>
    <t>Nespresso</t>
  </si>
  <si>
    <t>Amazon books</t>
  </si>
  <si>
    <t>Scots Guards book 2</t>
  </si>
  <si>
    <t>Cash Week 1 July</t>
  </si>
  <si>
    <t>Cash Week 8 July</t>
  </si>
  <si>
    <t>Cash Week 15 July</t>
  </si>
  <si>
    <t>Cash Week 22 July</t>
  </si>
  <si>
    <t>Coffee while waiting for tribunal, cinema club, cinema</t>
  </si>
  <si>
    <t>Cash Week 29 July</t>
  </si>
  <si>
    <t>Paint for airfix models, parking</t>
  </si>
  <si>
    <t>Aviemore Congress Entry</t>
  </si>
  <si>
    <t>Cheque to Bill Richardson</t>
  </si>
  <si>
    <t>Cheque to Sheffield, 15hli war diary, Archie’s medal card, 2 SG war diary, scotlands people</t>
  </si>
  <si>
    <t>Netting, post anchors, pipe cement, coastal koi, decking board, screws for frame</t>
  </si>
  <si>
    <t>Fish and Food for pond</t>
  </si>
  <si>
    <t>Stress Coat</t>
  </si>
  <si>
    <t>NemaSlugs, garden collcetion subscription</t>
  </si>
  <si>
    <t>Patio table, play sand, new router</t>
  </si>
  <si>
    <t>Euros for Barcelona + Euan, Ramsay</t>
  </si>
  <si>
    <t>Lego</t>
  </si>
  <si>
    <t>Lander, spare parts fror DB5</t>
  </si>
  <si>
    <t>Amy’s flights</t>
  </si>
  <si>
    <t>Musselburgh bets</t>
  </si>
  <si>
    <t>Amy’s birthday</t>
  </si>
  <si>
    <t>Sweets, gin kit, chocolates</t>
  </si>
  <si>
    <t>Amy’s insurance</t>
  </si>
  <si>
    <t>Brought forward from August</t>
  </si>
  <si>
    <t>Household Account</t>
  </si>
  <si>
    <t>Voices of Chernobly for Kindle</t>
  </si>
  <si>
    <t>Cash Week 5 August</t>
  </si>
  <si>
    <t>Lego black 1 x 1 from ebay, Tesco wine, replacement ball pen, humbrol paints X 4 (Amazon), Humbrol</t>
  </si>
  <si>
    <t>Cash Week 12 August</t>
  </si>
  <si>
    <t>Drinks at Hotel du Vin, Nibbles from Morrisons</t>
  </si>
  <si>
    <t>Cash Week 19 August</t>
  </si>
  <si>
    <t>Cash Week 26 August</t>
  </si>
  <si>
    <t>Food from Morrisons, hospital parking, broken lego bricks</t>
  </si>
  <si>
    <t>Paternal grandparents wedding certificate, maternal grandparents wedding certificate, Grandfather’s birth certificate, nandad,s death certificate, nanan’s death certificate, find my past</t>
  </si>
  <si>
    <t>Barcelona</t>
  </si>
  <si>
    <t>Lamp holders, book fro Amy, book for Amy, Frank’s diary notebook, cash on fairfx card, cash for taxi, cash on fairfx, dinner</t>
  </si>
  <si>
    <t>Tanks</t>
  </si>
  <si>
    <t>Holiday block</t>
  </si>
  <si>
    <t>Pond</t>
  </si>
  <si>
    <t>UV Lamp, connectors and blue roll, koi food, 40mm stop end, 32mm stop end</t>
  </si>
  <si>
    <t>Strimmer</t>
  </si>
  <si>
    <t>Window handles for bathroom, powerline extender for down-stairs, rubble bags and padlock for small gate</t>
  </si>
  <si>
    <t>Lunch/Dinner with Amy</t>
  </si>
  <si>
    <t>Yamato was very expensive!</t>
  </si>
  <si>
    <t>Clothes for USA</t>
  </si>
  <si>
    <t>Yearly Standing orders</t>
  </si>
  <si>
    <t>Melville subs(2), VPN</t>
  </si>
  <si>
    <t>Bumble book, spanish course</t>
  </si>
  <si>
    <t>Cash Week 2 September</t>
  </si>
  <si>
    <t>Paints for shuttle, cash</t>
  </si>
  <si>
    <t>Cash Week 9 September</t>
  </si>
  <si>
    <t>Spanish classes for 2.</t>
  </si>
  <si>
    <t>Cash Week 16 September</t>
  </si>
  <si>
    <t>Tom’s Birthday whisky</t>
  </si>
  <si>
    <t>Cash Week 23 September</t>
  </si>
  <si>
    <t>Sainsbury’s shopping, razor blades</t>
  </si>
  <si>
    <t>Cash Week 30 September</t>
  </si>
  <si>
    <t>Cash, Humble bundle, parking</t>
  </si>
  <si>
    <t>nancy Bramall Birth certificate, her death certificate, Nanan’s birth certificate, Nandad’s birth certificate (possibly), Auntie Violet birth certificate, Aunt Beatrice birth certificate</t>
  </si>
  <si>
    <t>Perspex for tank tops, scourer, scourer + thermometer</t>
  </si>
  <si>
    <t>Sturgeons, clear water treatment, float switch</t>
  </si>
  <si>
    <t>Fruit Trees (2)</t>
  </si>
  <si>
    <t>Paint brushes and mallet for corking wine. wet rot paint and long roller, roller sleeves, paint kettle inserts, REAL white paint, radiator paint, paint and artist brushes</t>
  </si>
  <si>
    <t>Clothes</t>
  </si>
  <si>
    <t>Shoes, trousers</t>
  </si>
  <si>
    <t>Aviemore Accomodation</t>
  </si>
  <si>
    <t>Inverness Premier Inn, Aviemore house, Aviemore damage deposit</t>
  </si>
  <si>
    <t>Yearly Standing Order</t>
  </si>
  <si>
    <t>Scot domain name. (Mary paid house insurance)</t>
  </si>
  <si>
    <t>One lesson paid in advance from August</t>
  </si>
  <si>
    <t>Spanish activity book</t>
  </si>
  <si>
    <t>Cash Week 7 October</t>
  </si>
  <si>
    <t>Train to Inverurie, repair to car tyre, Dundee hotel</t>
  </si>
  <si>
    <t>Cash Week 14 October</t>
  </si>
  <si>
    <t>Cash + Badges for Given + Pizza</t>
  </si>
  <si>
    <t>Cash Week 21 October</t>
  </si>
  <si>
    <t>Monday Dinner from Asda, cash at Aberdeen, New hedphones for phone, Queens Hotel Dundee, Train Aberdeen to Stonehaven</t>
  </si>
  <si>
    <t>Cash Week 28 October</t>
  </si>
  <si>
    <t>Ciinema (3 off)</t>
  </si>
  <si>
    <t>Parking to take in REME, 80 credits from Scotland’s peopl, Annei Grant and Andrew Grant marriage certificate, great gandad’s bith certificate, 80 credits from Scotlands’ People, Annie Grant death certificate</t>
  </si>
  <si>
    <t>Three cichlids and some food for them</t>
  </si>
  <si>
    <t>Replacement plunge saw blades, ceramic poppies for all</t>
  </si>
  <si>
    <t>Sheffield visit</t>
  </si>
  <si>
    <t>Sheffield Hotel, Crucible theatre, Scraborough theatre, Scarboarogh dinner, cash, cocktails etc., parking, coffess</t>
  </si>
  <si>
    <t>M &amp; S jersey and belt, Blacks – walking shoes</t>
  </si>
  <si>
    <t>Glasses</t>
  </si>
  <si>
    <t>Parking fine in Dalkeith, glasses</t>
  </si>
  <si>
    <t>Forgot VAT!</t>
  </si>
  <si>
    <t>Credits and Barley Sugar</t>
  </si>
  <si>
    <t>Cash Week 4 November</t>
  </si>
  <si>
    <t>Cash Week 11 November</t>
  </si>
  <si>
    <t>Newspaper, cinema</t>
  </si>
  <si>
    <t>Cash Week 18 November</t>
  </si>
  <si>
    <t>Dinner at Cool Jade, top ub HSBC, cash for antiques fair</t>
  </si>
  <si>
    <t>Cash Week 25 November</t>
  </si>
  <si>
    <t>Monday breakfast, monday lunch</t>
  </si>
  <si>
    <t>Fuel at perth+Adblu (Amazon)</t>
  </si>
  <si>
    <t>GGF and annie re-order, scolands people credits, granny’s birth certificate, grany’s mother birth certificate</t>
  </si>
  <si>
    <t>Three yellow chichlids</t>
  </si>
  <si>
    <t>Oxo cubes, mouse traps</t>
  </si>
  <si>
    <t>Xmas presents part 1</t>
  </si>
  <si>
    <r>
      <t>David’s birthday (Colonades) + Cards and calendar from HFH + advent calendars + cat calendars + Abi cricket top+Dvaid Cricket top+EBU Entry, Books for Ryland (2</t>
    </r>
    <r>
      <rPr>
        <vertAlign val="superscript"/>
        <sz val="12"/>
        <color theme="1"/>
        <rFont val="Liberation Sans"/>
      </rPr>
      <t>nd</t>
    </r>
    <r>
      <rPr>
        <sz val="12"/>
        <color theme="1"/>
        <rFont val="Liberation Sans"/>
      </rPr>
      <t xml:space="preserve"> try), envelope for Amy’s parcel, pos Amy’s parcel, Ryland’s advent calendar</t>
    </r>
  </si>
  <si>
    <t>Mary’s Birthday extras</t>
  </si>
  <si>
    <t>Blackpool congress + travel from Gl;asgow</t>
  </si>
  <si>
    <t>Inverness/Aviemore trip</t>
  </si>
  <si>
    <t>?, ? , Dinner, cash, flowers, snacks, lunch, parking, dinner</t>
  </si>
  <si>
    <t>socks, pants, gloves</t>
  </si>
  <si>
    <t>Melville top up (inc party)</t>
  </si>
  <si>
    <t>Cash Week 2 December</t>
  </si>
  <si>
    <t>Hand warmers</t>
  </si>
  <si>
    <t>Cash Week 9 December</t>
  </si>
  <si>
    <t>Cash + papers + Mary’s next birthday dinner, kitchen aerator+test of Marcus link</t>
  </si>
  <si>
    <t>Cash Week 16 December</t>
  </si>
  <si>
    <t>Cash Week 23 December</t>
  </si>
  <si>
    <t>cash + Parking Broughton Street+Amy breakfast</t>
  </si>
  <si>
    <t>Cash Week 30 December</t>
  </si>
  <si>
    <t>Parking for brunch with Gillian, Cinema, fame for Ryland’s picture</t>
  </si>
  <si>
    <t>Tickets for search room, credits, Robert Mclennan marriage cert, credits</t>
  </si>
  <si>
    <t>Pack of 6 ES lamps, PP3 batteries and brandy snaps, capsule lamps</t>
  </si>
  <si>
    <t>Xmas presents part 2 and costs</t>
  </si>
  <si>
    <t>Lego excavator, Mary’s cake and card, Amy’s TV, Ryland’s train, juggling balls, cat calendar, James shirt, james shirt, books, new brooch for Liz, extra juggling balls and books + scissors, mary’s mouse, extra scisors and shears</t>
  </si>
  <si>
    <t>Blackpool or similar</t>
  </si>
  <si>
    <t>Cash, coach booking, Steak in Wotherspoons, chinese meal, two tickets from Quens Street, cofeee wirth the family, hotrl drinks, hotel drinks, cofee in town</t>
  </si>
  <si>
    <t>James in Edinburgh</t>
  </si>
  <si>
    <t>Tiger who came to tea book and toy, airport parking (x2), airport parkign again, Cool Jade3, Amy Parking</t>
  </si>
  <si>
    <t>Works outings</t>
  </si>
  <si>
    <t>Cash for Selex, and phartes</t>
  </si>
  <si>
    <t>Cash at Start of Month (1/12/2019)</t>
  </si>
  <si>
    <t>Less pension payments (except Aviva)</t>
  </si>
  <si>
    <t>Net (? Free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</si>
</sst>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£-809]#,##0;[Red]&quot;-&quot;[$£-809]#,##0"/>
    <numFmt numFmtId="165" formatCode="[$£-809]#,##0.00;[Red]&quot;-&quot;[$£-809]#,##0.00"/>
  </numFmts>
  <fonts count="16">
    <font>
      <sz val="12"/>
      <color theme="1"/>
      <name val="Liberation Sans"/>
    </font>
    <font>
      <sz val="12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0"/>
      <color theme="1"/>
      <name val="Liberation Sans"/>
    </font>
    <font>
      <vertAlign val="superscript"/>
      <sz val="12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66FF"/>
      </left>
      <right style="medium">
        <color rgb="FF0066FF"/>
      </right>
      <top style="medium">
        <color rgb="FF0066FF"/>
      </top>
      <bottom style="medium">
        <color rgb="FF0066FF"/>
      </bottom>
      <diagonal/>
    </border>
    <border>
      <left style="medium">
        <color rgb="FFFF00CC"/>
      </left>
      <right/>
      <top style="medium">
        <color rgb="FFFF00CC"/>
      </top>
      <bottom style="medium">
        <color rgb="FFFF00CC"/>
      </bottom>
      <diagonal/>
    </border>
    <border>
      <left/>
      <right/>
      <top style="medium">
        <color rgb="FFFF00CC"/>
      </top>
      <bottom style="medium">
        <color rgb="FFFF00CC"/>
      </bottom>
      <diagonal/>
    </border>
    <border>
      <left/>
      <right style="medium">
        <color rgb="FFFF00CC"/>
      </right>
      <top style="medium">
        <color rgb="FFFF00CC"/>
      </top>
      <bottom style="medium">
        <color rgb="FFFF00CC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4"/>
  <sheetViews>
    <sheetView tabSelected="1" workbookViewId="0"/>
  </sheetViews>
  <sheetFormatPr baseColWidth="10" defaultRowHeight="12.75"/>
  <cols>
    <col min="1" max="1" width="36.5" customWidth="1"/>
    <col min="2" max="2" width="14.1640625" style="1" customWidth="1"/>
    <col min="3" max="3" width="15" style="1" customWidth="1"/>
    <col min="4" max="4" width="19.5" style="1" customWidth="1"/>
    <col min="5" max="5" width="119.832031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6">
      <c r="A2" t="s">
        <v>5</v>
      </c>
      <c r="B2" s="1">
        <v>-2374.2800000000002</v>
      </c>
      <c r="C2" s="1">
        <f>B2</f>
        <v>-2374.2800000000002</v>
      </c>
      <c r="D2" s="1">
        <f t="shared" ref="D2:D29" si="0">IF(ISBLANK(C2),"",B2-C2)</f>
        <v>0</v>
      </c>
    </row>
    <row r="3" spans="1:5" ht="16">
      <c r="A3" t="s">
        <v>6</v>
      </c>
      <c r="B3" s="1">
        <v>429.55</v>
      </c>
      <c r="C3" s="1">
        <f>B3</f>
        <v>429.55</v>
      </c>
      <c r="D3" s="1">
        <f t="shared" si="0"/>
        <v>0</v>
      </c>
    </row>
    <row r="4" spans="1:5" ht="16">
      <c r="A4" t="s">
        <v>7</v>
      </c>
      <c r="B4" s="1">
        <v>110</v>
      </c>
      <c r="C4" s="1">
        <v>110</v>
      </c>
      <c r="D4" s="1">
        <f t="shared" si="0"/>
        <v>0</v>
      </c>
    </row>
    <row r="5" spans="1:5" ht="16">
      <c r="A5" t="s">
        <v>8</v>
      </c>
      <c r="B5" s="1">
        <v>50</v>
      </c>
      <c r="C5" s="1">
        <v>50</v>
      </c>
      <c r="D5" s="1">
        <f t="shared" si="0"/>
        <v>0</v>
      </c>
    </row>
    <row r="6" spans="1:5" ht="16">
      <c r="A6" t="s">
        <v>9</v>
      </c>
      <c r="B6" s="1">
        <v>30</v>
      </c>
      <c r="C6" s="1">
        <v>30</v>
      </c>
      <c r="D6" s="1">
        <f t="shared" si="0"/>
        <v>0</v>
      </c>
    </row>
    <row r="7" spans="1:5" ht="16">
      <c r="A7" t="s">
        <v>10</v>
      </c>
      <c r="B7" s="1">
        <v>30</v>
      </c>
      <c r="C7" s="1">
        <v>0</v>
      </c>
      <c r="D7" s="1">
        <f t="shared" si="0"/>
        <v>30</v>
      </c>
    </row>
    <row r="8" spans="1:5" ht="16">
      <c r="A8" t="s">
        <v>11</v>
      </c>
      <c r="B8" s="1">
        <v>30</v>
      </c>
      <c r="C8" s="1">
        <v>0</v>
      </c>
      <c r="D8" s="1">
        <f t="shared" si="0"/>
        <v>30</v>
      </c>
    </row>
    <row r="9" spans="1:5" ht="16">
      <c r="A9" t="s">
        <v>12</v>
      </c>
      <c r="B9" s="1">
        <v>30</v>
      </c>
      <c r="C9" s="1">
        <v>0</v>
      </c>
      <c r="D9" s="1">
        <f t="shared" si="0"/>
        <v>30</v>
      </c>
    </row>
    <row r="10" spans="1:5" ht="16">
      <c r="A10" t="s">
        <v>13</v>
      </c>
      <c r="B10" s="1">
        <v>0</v>
      </c>
      <c r="D10" s="1" t="str">
        <f t="shared" si="0"/>
        <v/>
      </c>
    </row>
    <row r="11" spans="1:5" ht="17" thickBot="1">
      <c r="A11" t="s">
        <v>14</v>
      </c>
      <c r="B11" s="1">
        <v>150</v>
      </c>
      <c r="C11" s="1">
        <f>65.59+68.62</f>
        <v>134.21</v>
      </c>
      <c r="D11" s="1">
        <f t="shared" si="0"/>
        <v>15.789999999999992</v>
      </c>
      <c r="E11" t="s">
        <v>15</v>
      </c>
    </row>
    <row r="12" spans="1:5" ht="17" thickBot="1">
      <c r="A12" s="6" t="s">
        <v>16</v>
      </c>
      <c r="B12" s="6"/>
      <c r="C12" s="6"/>
      <c r="D12" s="1" t="str">
        <f t="shared" si="0"/>
        <v/>
      </c>
    </row>
    <row r="13" spans="1:5" ht="16">
      <c r="D13" s="1" t="str">
        <f t="shared" si="0"/>
        <v/>
      </c>
    </row>
    <row r="14" spans="1:5" ht="16">
      <c r="A14" t="s">
        <v>17</v>
      </c>
      <c r="B14" s="1">
        <v>49</v>
      </c>
      <c r="C14" s="1">
        <f>B14</f>
        <v>49</v>
      </c>
      <c r="D14" s="1">
        <f t="shared" si="0"/>
        <v>0</v>
      </c>
    </row>
    <row r="15" spans="1:5" ht="16">
      <c r="A15" t="s">
        <v>18</v>
      </c>
      <c r="B15" s="1">
        <v>336</v>
      </c>
      <c r="C15" s="1">
        <v>336</v>
      </c>
      <c r="D15" s="1">
        <f t="shared" si="0"/>
        <v>0</v>
      </c>
    </row>
    <row r="16" spans="1:5" ht="16">
      <c r="A16" t="s">
        <v>19</v>
      </c>
      <c r="B16" s="1">
        <v>150</v>
      </c>
      <c r="C16" s="1">
        <f>13.56+60+42+19.5+123</f>
        <v>258.06</v>
      </c>
      <c r="D16" s="1">
        <f t="shared" si="0"/>
        <v>-108.06</v>
      </c>
      <c r="E16" t="s">
        <v>20</v>
      </c>
    </row>
    <row r="17" spans="1:5" ht="16">
      <c r="A17" t="s">
        <v>21</v>
      </c>
      <c r="B17" s="1">
        <v>75</v>
      </c>
      <c r="C17" s="1">
        <v>0</v>
      </c>
      <c r="D17" s="1">
        <f t="shared" si="0"/>
        <v>75</v>
      </c>
    </row>
    <row r="18" spans="1:5" ht="16">
      <c r="A18" t="s">
        <v>22</v>
      </c>
      <c r="B18" s="1">
        <v>30</v>
      </c>
      <c r="C18" s="1">
        <v>0</v>
      </c>
      <c r="D18" s="1">
        <f t="shared" si="0"/>
        <v>30</v>
      </c>
    </row>
    <row r="19" spans="1:5" ht="16">
      <c r="A19" t="s">
        <v>23</v>
      </c>
      <c r="B19" s="1">
        <v>30</v>
      </c>
      <c r="C19" s="1">
        <v>0.98</v>
      </c>
      <c r="D19" s="1">
        <f t="shared" si="0"/>
        <v>29.02</v>
      </c>
      <c r="E19" t="s">
        <v>24</v>
      </c>
    </row>
    <row r="20" spans="1:5" ht="16">
      <c r="A20" t="s">
        <v>25</v>
      </c>
      <c r="B20" s="1">
        <v>50</v>
      </c>
      <c r="C20" s="1">
        <f>23+5.5+11.59</f>
        <v>40.090000000000003</v>
      </c>
      <c r="D20" s="1">
        <f t="shared" si="0"/>
        <v>9.9099999999999966</v>
      </c>
    </row>
    <row r="21" spans="1:5" ht="16">
      <c r="A21" t="s">
        <v>26</v>
      </c>
      <c r="B21" s="1">
        <v>50</v>
      </c>
      <c r="C21" s="1">
        <f>24+9.17</f>
        <v>33.17</v>
      </c>
      <c r="D21" s="1">
        <f t="shared" si="0"/>
        <v>16.829999999999998</v>
      </c>
      <c r="E21" t="s">
        <v>27</v>
      </c>
    </row>
    <row r="22" spans="1:5" ht="16">
      <c r="A22" t="s">
        <v>28</v>
      </c>
      <c r="B22" s="1">
        <v>200</v>
      </c>
      <c r="C22" s="1">
        <v>0</v>
      </c>
      <c r="D22" s="1">
        <f t="shared" si="0"/>
        <v>200</v>
      </c>
    </row>
    <row r="23" spans="1:5" ht="16">
      <c r="A23" t="s">
        <v>29</v>
      </c>
      <c r="B23" s="1">
        <v>300</v>
      </c>
      <c r="C23" s="1">
        <f>6.61+1.85+27.45+22.04+279.81+11.51+67.97+5.02</f>
        <v>422.26</v>
      </c>
      <c r="D23" s="1">
        <f t="shared" si="0"/>
        <v>-122.25999999999999</v>
      </c>
      <c r="E23" t="s">
        <v>30</v>
      </c>
    </row>
    <row r="24" spans="1:5" ht="16">
      <c r="A24" t="s">
        <v>31</v>
      </c>
      <c r="B24" s="1">
        <v>100</v>
      </c>
      <c r="C24" s="1">
        <f>8.38+12</f>
        <v>20.380000000000003</v>
      </c>
      <c r="D24" s="1">
        <f t="shared" si="0"/>
        <v>79.62</v>
      </c>
      <c r="E24" t="s">
        <v>32</v>
      </c>
    </row>
    <row r="25" spans="1:5" ht="16">
      <c r="A25" t="s">
        <v>33</v>
      </c>
      <c r="B25" s="1">
        <v>100</v>
      </c>
      <c r="C25" s="1">
        <f>24 + 2.94+4.78+10+12.74+5.6+6.95+260+19.82+6.91+31.09+13.99+5.29</f>
        <v>404.11</v>
      </c>
      <c r="D25" s="1">
        <f t="shared" si="0"/>
        <v>-304.11</v>
      </c>
      <c r="E25" t="s">
        <v>34</v>
      </c>
    </row>
    <row r="26" spans="1:5" ht="16">
      <c r="A26" t="s">
        <v>35</v>
      </c>
      <c r="B26" s="2"/>
      <c r="C26" s="1">
        <v>266.99</v>
      </c>
      <c r="D26" s="1">
        <f t="shared" si="0"/>
        <v>-266.99</v>
      </c>
    </row>
    <row r="27" spans="1:5" ht="16">
      <c r="A27" t="s">
        <v>36</v>
      </c>
      <c r="B27" s="2"/>
      <c r="C27" s="1">
        <v>190</v>
      </c>
      <c r="D27" s="1">
        <f t="shared" si="0"/>
        <v>-190</v>
      </c>
    </row>
    <row r="28" spans="1:5" ht="16">
      <c r="A28" t="s">
        <v>37</v>
      </c>
      <c r="B28" s="2"/>
      <c r="C28" s="1">
        <v>34</v>
      </c>
      <c r="D28" s="1">
        <f t="shared" si="0"/>
        <v>-34</v>
      </c>
    </row>
    <row r="29" spans="1:5" ht="16">
      <c r="A29" t="s">
        <v>38</v>
      </c>
      <c r="B29" s="2"/>
      <c r="C29" s="1">
        <v>37.5</v>
      </c>
      <c r="D29" s="1">
        <f t="shared" si="0"/>
        <v>-37.5</v>
      </c>
    </row>
    <row r="30" spans="1:5" ht="16">
      <c r="B30" s="2"/>
    </row>
    <row r="31" spans="1:5" ht="16">
      <c r="B31" s="2"/>
    </row>
    <row r="32" spans="1:5" ht="17" thickBot="1">
      <c r="D32" s="1">
        <f>SUM(D2:D28)</f>
        <v>-479.25</v>
      </c>
    </row>
    <row r="33" spans="1:4" ht="17" thickBot="1">
      <c r="A33" s="3" t="s">
        <v>39</v>
      </c>
      <c r="B33" s="4">
        <f>-SUM(B2:B32)</f>
        <v>44.730000000000246</v>
      </c>
      <c r="C33" s="4">
        <f>-SUM(C2:C32)</f>
        <v>-472.01999999999975</v>
      </c>
      <c r="D33" s="5">
        <f>B33+D32</f>
        <v>-434.51999999999975</v>
      </c>
    </row>
    <row r="34" spans="1:4" ht="16">
      <c r="B34" s="1" t="s">
        <v>40</v>
      </c>
      <c r="C34" s="1" t="s">
        <v>41</v>
      </c>
      <c r="D34" s="1" t="s">
        <v>42</v>
      </c>
    </row>
  </sheetData>
  <mergeCells count="1">
    <mergeCell ref="A12:C12"/>
  </mergeCells>
  <pageMargins left="0" right="0" top="0.39370078740157477" bottom="0.39370078740157477" header="0" footer="0"/>
  <headerFooter>
    <oddHeader>&amp;C&amp;A</oddHeader>
    <oddFooter>&amp;CPage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baseColWidth="10" defaultRowHeight="12.75"/>
  <cols>
    <col min="1" max="1" width="41.6640625" customWidth="1"/>
    <col min="2" max="2" width="14.1640625" style="1" customWidth="1"/>
    <col min="3" max="3" width="15" style="1" customWidth="1"/>
    <col min="4" max="4" width="19.5" style="1" customWidth="1"/>
    <col min="5" max="5" width="119.832031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6">
      <c r="A2" t="s">
        <v>5</v>
      </c>
      <c r="B2" s="1">
        <v>-2923.57</v>
      </c>
      <c r="C2" s="1">
        <f>B2</f>
        <v>-2923.57</v>
      </c>
      <c r="D2" s="1">
        <f t="shared" ref="D2:D29" si="0">IF(ISBLANK(C2),"",B2-C2)</f>
        <v>0</v>
      </c>
    </row>
    <row r="3" spans="1:5" ht="16">
      <c r="A3" t="s">
        <v>43</v>
      </c>
      <c r="B3" s="1">
        <v>549.29</v>
      </c>
      <c r="C3" s="1">
        <v>549.29</v>
      </c>
      <c r="D3" s="1">
        <f t="shared" si="0"/>
        <v>0</v>
      </c>
    </row>
    <row r="4" spans="1:5" ht="16">
      <c r="A4" t="s">
        <v>6</v>
      </c>
      <c r="B4" s="1">
        <v>433.41</v>
      </c>
      <c r="C4" s="1">
        <f>B4</f>
        <v>433.41</v>
      </c>
      <c r="D4" s="1">
        <f t="shared" si="0"/>
        <v>0</v>
      </c>
    </row>
    <row r="5" spans="1:5" ht="16">
      <c r="A5" t="s">
        <v>7</v>
      </c>
      <c r="B5" s="1">
        <v>110</v>
      </c>
      <c r="C5" s="1">
        <v>0</v>
      </c>
      <c r="D5" s="1">
        <f t="shared" si="0"/>
        <v>110</v>
      </c>
    </row>
    <row r="6" spans="1:5" ht="16">
      <c r="A6" t="s">
        <v>8</v>
      </c>
      <c r="B6" s="1">
        <v>50</v>
      </c>
      <c r="C6" s="1">
        <v>50</v>
      </c>
      <c r="D6" s="1">
        <f t="shared" si="0"/>
        <v>0</v>
      </c>
    </row>
    <row r="7" spans="1:5" ht="16">
      <c r="A7" t="s">
        <v>44</v>
      </c>
      <c r="B7" s="1">
        <v>50</v>
      </c>
      <c r="C7" s="1">
        <v>35</v>
      </c>
      <c r="D7" s="1">
        <f t="shared" si="0"/>
        <v>15</v>
      </c>
    </row>
    <row r="8" spans="1:5" ht="16">
      <c r="A8" t="s">
        <v>45</v>
      </c>
      <c r="B8" s="1">
        <v>30</v>
      </c>
      <c r="C8" s="1">
        <f>0.98+24.5</f>
        <v>25.48</v>
      </c>
      <c r="D8" s="1">
        <f t="shared" si="0"/>
        <v>4.5199999999999996</v>
      </c>
      <c r="E8" t="s">
        <v>46</v>
      </c>
    </row>
    <row r="9" spans="1:5" ht="16">
      <c r="A9" t="s">
        <v>47</v>
      </c>
      <c r="B9" s="1">
        <v>30</v>
      </c>
      <c r="C9" s="1">
        <v>0</v>
      </c>
      <c r="D9" s="1">
        <f t="shared" si="0"/>
        <v>30</v>
      </c>
    </row>
    <row r="10" spans="1:5" ht="16">
      <c r="A10" t="s">
        <v>48</v>
      </c>
      <c r="B10" s="1">
        <v>30</v>
      </c>
      <c r="C10" s="1">
        <v>0</v>
      </c>
      <c r="D10" s="1">
        <f t="shared" si="0"/>
        <v>30</v>
      </c>
    </row>
    <row r="11" spans="1:5" ht="16">
      <c r="A11" t="s">
        <v>49</v>
      </c>
      <c r="B11" s="1">
        <v>30</v>
      </c>
      <c r="C11" s="1">
        <v>0</v>
      </c>
      <c r="D11" s="1">
        <f t="shared" si="0"/>
        <v>30</v>
      </c>
    </row>
    <row r="12" spans="1:5" ht="16">
      <c r="A12" t="s">
        <v>50</v>
      </c>
      <c r="B12" s="1">
        <v>30</v>
      </c>
      <c r="C12" s="1">
        <f>4.38+29.96+5.95</f>
        <v>40.290000000000006</v>
      </c>
      <c r="D12" s="1">
        <f t="shared" si="0"/>
        <v>-10.290000000000006</v>
      </c>
      <c r="E12" t="s">
        <v>51</v>
      </c>
    </row>
    <row r="13" spans="1:5" ht="16">
      <c r="A13" t="s">
        <v>52</v>
      </c>
      <c r="B13" s="1">
        <v>30</v>
      </c>
      <c r="C13" s="1">
        <f>13.96+4.1</f>
        <v>18.060000000000002</v>
      </c>
      <c r="D13" s="1">
        <f t="shared" si="0"/>
        <v>11.939999999999998</v>
      </c>
      <c r="E13" t="s">
        <v>53</v>
      </c>
    </row>
    <row r="14" spans="1:5" ht="17" thickBot="1">
      <c r="A14" t="s">
        <v>14</v>
      </c>
      <c r="B14" s="1">
        <v>75</v>
      </c>
      <c r="C14" s="1">
        <v>73.33</v>
      </c>
      <c r="D14" s="1">
        <f t="shared" si="0"/>
        <v>1.6700000000000017</v>
      </c>
    </row>
    <row r="15" spans="1:5" ht="17" thickBot="1">
      <c r="A15" s="6" t="s">
        <v>16</v>
      </c>
      <c r="B15" s="6"/>
      <c r="C15" s="6"/>
      <c r="D15" s="1" t="str">
        <f t="shared" si="0"/>
        <v/>
      </c>
    </row>
    <row r="16" spans="1:5" ht="16">
      <c r="A16" t="s">
        <v>54</v>
      </c>
      <c r="B16" s="1">
        <f>2*62+2*46</f>
        <v>216</v>
      </c>
      <c r="C16" s="1">
        <v>216</v>
      </c>
      <c r="D16" s="1">
        <f t="shared" si="0"/>
        <v>0</v>
      </c>
      <c r="E16" t="s">
        <v>55</v>
      </c>
    </row>
    <row r="17" spans="1:5" ht="16">
      <c r="A17" t="s">
        <v>21</v>
      </c>
      <c r="B17" s="1">
        <v>75</v>
      </c>
      <c r="C17" s="1">
        <f>30+3.5+14+40</f>
        <v>87.5</v>
      </c>
      <c r="D17" s="1">
        <f t="shared" si="0"/>
        <v>-12.5</v>
      </c>
      <c r="E17" t="s">
        <v>56</v>
      </c>
    </row>
    <row r="18" spans="1:5" ht="16">
      <c r="A18" t="s">
        <v>26</v>
      </c>
      <c r="B18" s="1">
        <v>50</v>
      </c>
      <c r="C18" s="1">
        <v>0</v>
      </c>
      <c r="D18" s="1">
        <f t="shared" si="0"/>
        <v>50</v>
      </c>
    </row>
    <row r="19" spans="1:5" ht="16">
      <c r="A19" t="s">
        <v>29</v>
      </c>
      <c r="B19" s="1">
        <v>200</v>
      </c>
      <c r="C19" s="1">
        <f>13.1+16.44+16.61+146.95+8.2+3.27</f>
        <v>204.57</v>
      </c>
      <c r="D19" s="1">
        <f t="shared" si="0"/>
        <v>-4.5699999999999932</v>
      </c>
      <c r="E19" t="s">
        <v>57</v>
      </c>
    </row>
    <row r="20" spans="1:5" ht="16">
      <c r="A20" t="s">
        <v>58</v>
      </c>
      <c r="B20" s="1">
        <v>100</v>
      </c>
      <c r="C20" s="1">
        <v>32.08</v>
      </c>
      <c r="D20" s="1">
        <f t="shared" si="0"/>
        <v>67.92</v>
      </c>
      <c r="E20" t="s">
        <v>59</v>
      </c>
    </row>
    <row r="21" spans="1:5" ht="16">
      <c r="A21" t="s">
        <v>31</v>
      </c>
      <c r="B21" s="1">
        <v>50</v>
      </c>
      <c r="C21" s="1">
        <f>12.38+25</f>
        <v>37.380000000000003</v>
      </c>
      <c r="D21" s="1">
        <f t="shared" si="0"/>
        <v>12.619999999999997</v>
      </c>
      <c r="E21" t="s">
        <v>60</v>
      </c>
    </row>
    <row r="22" spans="1:5" ht="16">
      <c r="A22" t="s">
        <v>33</v>
      </c>
      <c r="B22" s="1">
        <v>50</v>
      </c>
      <c r="C22" s="1">
        <f>99+5+78</f>
        <v>182</v>
      </c>
      <c r="D22" s="1">
        <f t="shared" si="0"/>
        <v>-132</v>
      </c>
      <c r="E22" t="s">
        <v>61</v>
      </c>
    </row>
    <row r="23" spans="1:5" ht="16">
      <c r="A23" t="s">
        <v>62</v>
      </c>
      <c r="B23" s="1">
        <v>100</v>
      </c>
      <c r="C23" s="1">
        <v>93.47</v>
      </c>
      <c r="D23" s="1">
        <f t="shared" si="0"/>
        <v>6.5300000000000011</v>
      </c>
    </row>
    <row r="24" spans="1:5" ht="16">
      <c r="A24" t="s">
        <v>63</v>
      </c>
      <c r="B24" s="1">
        <v>85</v>
      </c>
      <c r="C24" s="1">
        <f>84.95+5</f>
        <v>89.95</v>
      </c>
      <c r="D24" s="1">
        <f t="shared" si="0"/>
        <v>-4.9500000000000028</v>
      </c>
      <c r="E24" t="s">
        <v>64</v>
      </c>
    </row>
    <row r="25" spans="1:5" ht="16">
      <c r="A25" t="s">
        <v>65</v>
      </c>
      <c r="B25" s="1">
        <v>400</v>
      </c>
      <c r="C25" s="1">
        <v>374</v>
      </c>
      <c r="D25" s="1">
        <f t="shared" si="0"/>
        <v>26</v>
      </c>
    </row>
    <row r="26" spans="1:5" ht="16">
      <c r="A26" t="s">
        <v>66</v>
      </c>
      <c r="B26" s="1">
        <v>70</v>
      </c>
      <c r="C26" s="1">
        <v>70</v>
      </c>
      <c r="D26" s="1">
        <f t="shared" si="0"/>
        <v>0</v>
      </c>
    </row>
    <row r="27" spans="1:5" ht="16">
      <c r="A27" t="s">
        <v>67</v>
      </c>
      <c r="B27" s="1">
        <v>100</v>
      </c>
      <c r="C27" s="1">
        <f>13.49+7.49+32</f>
        <v>52.980000000000004</v>
      </c>
      <c r="D27" s="1">
        <f t="shared" si="0"/>
        <v>47.019999999999996</v>
      </c>
      <c r="E27" t="s">
        <v>68</v>
      </c>
    </row>
    <row r="28" spans="1:5" ht="16">
      <c r="A28" t="s">
        <v>69</v>
      </c>
      <c r="B28" s="1">
        <v>50</v>
      </c>
      <c r="C28" s="1">
        <v>0</v>
      </c>
      <c r="D28" s="1">
        <f t="shared" si="0"/>
        <v>50</v>
      </c>
      <c r="E28" t="s">
        <v>70</v>
      </c>
    </row>
    <row r="29" spans="1:5" ht="16">
      <c r="D29" s="1" t="str">
        <f t="shared" si="0"/>
        <v/>
      </c>
    </row>
    <row r="30" spans="1:5" ht="17" thickBot="1">
      <c r="D30" s="1">
        <f>SUM(D2:D29)</f>
        <v>328.91</v>
      </c>
    </row>
    <row r="31" spans="1:5" ht="17" thickBot="1">
      <c r="A31" s="3" t="s">
        <v>39</v>
      </c>
      <c r="B31" s="4">
        <f>-SUM(B2:B30)</f>
        <v>-70.129999999999882</v>
      </c>
      <c r="C31" s="4">
        <f>-SUM(C2:C30)</f>
        <v>258.7800000000002</v>
      </c>
      <c r="D31" s="5">
        <f>B31+D30</f>
        <v>258.78000000000014</v>
      </c>
    </row>
    <row r="32" spans="1:5" ht="16">
      <c r="B32" s="1" t="s">
        <v>40</v>
      </c>
      <c r="C32" s="1" t="s">
        <v>41</v>
      </c>
      <c r="D32" s="1" t="s">
        <v>42</v>
      </c>
    </row>
  </sheetData>
  <mergeCells count="1">
    <mergeCell ref="A15:C15"/>
  </mergeCells>
  <pageMargins left="0" right="0" top="0.39370078740157477" bottom="0.39370078740157477" header="0" footer="0"/>
  <headerFooter>
    <oddHeader>&amp;C&amp;A</oddHeader>
    <oddFooter>&amp;CPage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baseColWidth="10" defaultRowHeight="12.75"/>
  <cols>
    <col min="1" max="1" width="41.6640625" customWidth="1"/>
    <col min="2" max="2" width="14.1640625" style="1" customWidth="1"/>
    <col min="3" max="3" width="15" style="1" customWidth="1"/>
    <col min="4" max="4" width="19.5" style="1" customWidth="1"/>
    <col min="5" max="5" width="159.332031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6">
      <c r="A2" t="s">
        <v>5</v>
      </c>
      <c r="B2" s="1">
        <f>July!B2</f>
        <v>-2923.57</v>
      </c>
      <c r="C2" s="1">
        <f>B2</f>
        <v>-2923.57</v>
      </c>
      <c r="D2" s="1">
        <f t="shared" ref="D2:D24" si="0">IF(ISBLANK(C2),"",B2-C2)</f>
        <v>0</v>
      </c>
    </row>
    <row r="3" spans="1:5" ht="16">
      <c r="A3" t="s">
        <v>71</v>
      </c>
      <c r="B3" s="1">
        <v>549.29</v>
      </c>
      <c r="C3" s="1">
        <v>549.29</v>
      </c>
      <c r="D3" s="1">
        <f t="shared" si="0"/>
        <v>0</v>
      </c>
    </row>
    <row r="4" spans="1:5" ht="16">
      <c r="A4" t="s">
        <v>6</v>
      </c>
      <c r="B4" s="1">
        <v>497.23</v>
      </c>
      <c r="C4" s="1">
        <f>B4</f>
        <v>497.23</v>
      </c>
      <c r="D4" s="1">
        <f t="shared" si="0"/>
        <v>0</v>
      </c>
    </row>
    <row r="5" spans="1:5" ht="16">
      <c r="A5" t="s">
        <v>7</v>
      </c>
      <c r="B5" s="1">
        <v>110</v>
      </c>
      <c r="C5" s="1">
        <v>110</v>
      </c>
      <c r="D5" s="1">
        <f t="shared" si="0"/>
        <v>0</v>
      </c>
    </row>
    <row r="6" spans="1:5" ht="16">
      <c r="A6" t="s">
        <v>8</v>
      </c>
      <c r="B6" s="1">
        <v>50</v>
      </c>
      <c r="C6" s="1">
        <v>50</v>
      </c>
      <c r="D6" s="1">
        <f t="shared" si="0"/>
        <v>0</v>
      </c>
    </row>
    <row r="7" spans="1:5" ht="16">
      <c r="A7" t="s">
        <v>44</v>
      </c>
      <c r="B7" s="1">
        <v>50</v>
      </c>
      <c r="C7" s="1">
        <v>52.3</v>
      </c>
      <c r="D7" s="1">
        <f t="shared" si="0"/>
        <v>-2.2999999999999972</v>
      </c>
    </row>
    <row r="8" spans="1:5" ht="16">
      <c r="A8" t="s">
        <v>45</v>
      </c>
      <c r="B8" s="1">
        <v>30</v>
      </c>
      <c r="C8" s="1">
        <v>4.99</v>
      </c>
      <c r="D8" s="1">
        <f t="shared" si="0"/>
        <v>25.009999999999998</v>
      </c>
      <c r="E8" t="s">
        <v>72</v>
      </c>
    </row>
    <row r="9" spans="1:5" ht="16">
      <c r="A9" t="s">
        <v>73</v>
      </c>
      <c r="B9" s="1">
        <v>30</v>
      </c>
      <c r="C9" s="1">
        <f>4.5+6.5+9.99+17.67+7.25+3.99+4.99+10.75+17.51</f>
        <v>83.15000000000002</v>
      </c>
      <c r="D9" s="1">
        <f t="shared" si="0"/>
        <v>-53.15000000000002</v>
      </c>
      <c r="E9" t="s">
        <v>74</v>
      </c>
    </row>
    <row r="10" spans="1:5" ht="16">
      <c r="A10" t="s">
        <v>75</v>
      </c>
      <c r="B10" s="1">
        <v>30</v>
      </c>
      <c r="C10" s="1">
        <f>35+23.25</f>
        <v>58.25</v>
      </c>
      <c r="D10" s="1">
        <f t="shared" si="0"/>
        <v>-28.25</v>
      </c>
      <c r="E10" t="s">
        <v>76</v>
      </c>
    </row>
    <row r="11" spans="1:5" ht="16">
      <c r="A11" t="s">
        <v>77</v>
      </c>
      <c r="B11" s="1">
        <v>30</v>
      </c>
      <c r="C11" s="1">
        <v>0</v>
      </c>
      <c r="D11" s="1">
        <f t="shared" si="0"/>
        <v>30</v>
      </c>
    </row>
    <row r="12" spans="1:5" ht="16">
      <c r="A12" t="s">
        <v>78</v>
      </c>
      <c r="B12" s="1">
        <v>30</v>
      </c>
      <c r="C12" s="1">
        <f>37.9+7.2+2.7</f>
        <v>47.800000000000004</v>
      </c>
      <c r="D12" s="1">
        <f t="shared" si="0"/>
        <v>-17.800000000000004</v>
      </c>
      <c r="E12" t="s">
        <v>79</v>
      </c>
    </row>
    <row r="13" spans="1:5" ht="16">
      <c r="A13" t="s">
        <v>13</v>
      </c>
      <c r="B13" s="1">
        <v>0</v>
      </c>
      <c r="D13" s="1" t="str">
        <f t="shared" si="0"/>
        <v/>
      </c>
    </row>
    <row r="14" spans="1:5" ht="17" thickBot="1">
      <c r="A14" t="s">
        <v>14</v>
      </c>
      <c r="B14" s="1">
        <v>75</v>
      </c>
      <c r="C14" s="1">
        <v>77.849999999999994</v>
      </c>
      <c r="D14" s="1">
        <f t="shared" si="0"/>
        <v>-2.8499999999999943</v>
      </c>
    </row>
    <row r="15" spans="1:5" ht="17" thickBot="1">
      <c r="A15" s="6" t="s">
        <v>16</v>
      </c>
      <c r="B15" s="6"/>
      <c r="C15" s="6"/>
      <c r="D15" s="1" t="str">
        <f t="shared" si="0"/>
        <v/>
      </c>
    </row>
    <row r="16" spans="1:5" ht="16">
      <c r="A16" t="s">
        <v>21</v>
      </c>
      <c r="B16" s="1">
        <v>75</v>
      </c>
      <c r="C16" s="1">
        <f>12.95+11+12.95+14+14+120</f>
        <v>184.9</v>
      </c>
      <c r="D16" s="1">
        <f t="shared" si="0"/>
        <v>-109.9</v>
      </c>
      <c r="E16" t="s">
        <v>80</v>
      </c>
    </row>
    <row r="17" spans="1:5" ht="16">
      <c r="A17" t="s">
        <v>81</v>
      </c>
      <c r="B17" s="1">
        <v>500</v>
      </c>
      <c r="C17" s="1">
        <f>8.99+7.07+8.28+1.25+300+40+150+100+38.35</f>
        <v>653.94000000000005</v>
      </c>
      <c r="D17" s="1">
        <f t="shared" si="0"/>
        <v>-153.94000000000005</v>
      </c>
      <c r="E17" t="s">
        <v>82</v>
      </c>
    </row>
    <row r="18" spans="1:5" ht="16">
      <c r="A18" t="s">
        <v>83</v>
      </c>
      <c r="B18" s="1">
        <v>20</v>
      </c>
      <c r="C18" s="1">
        <v>11.97</v>
      </c>
      <c r="D18" s="1">
        <f t="shared" si="0"/>
        <v>8.0299999999999994</v>
      </c>
      <c r="E18" t="s">
        <v>84</v>
      </c>
    </row>
    <row r="19" spans="1:5" ht="16">
      <c r="A19" t="s">
        <v>85</v>
      </c>
      <c r="B19" s="1">
        <v>150</v>
      </c>
      <c r="C19" s="1">
        <f>12.45+22.73+58.79+2.72+2.19</f>
        <v>98.88</v>
      </c>
      <c r="D19" s="1">
        <f t="shared" si="0"/>
        <v>51.120000000000005</v>
      </c>
      <c r="E19" t="s">
        <v>86</v>
      </c>
    </row>
    <row r="20" spans="1:5" ht="16">
      <c r="A20" t="s">
        <v>31</v>
      </c>
      <c r="B20" s="1">
        <v>50</v>
      </c>
      <c r="C20" s="1">
        <v>49.99</v>
      </c>
      <c r="D20" s="1">
        <f t="shared" si="0"/>
        <v>9.9999999999980105E-3</v>
      </c>
      <c r="E20" t="s">
        <v>87</v>
      </c>
    </row>
    <row r="21" spans="1:5" ht="16">
      <c r="A21" t="s">
        <v>33</v>
      </c>
      <c r="B21" s="1">
        <v>50</v>
      </c>
      <c r="C21" s="1">
        <f>6.91+26.99+12.83</f>
        <v>46.73</v>
      </c>
      <c r="D21" s="1">
        <f t="shared" si="0"/>
        <v>3.2700000000000031</v>
      </c>
      <c r="E21" t="s">
        <v>88</v>
      </c>
    </row>
    <row r="22" spans="1:5" ht="16">
      <c r="A22" t="s">
        <v>89</v>
      </c>
      <c r="B22" s="1">
        <v>120</v>
      </c>
      <c r="C22" s="1">
        <v>171.3</v>
      </c>
      <c r="D22" s="1">
        <f t="shared" si="0"/>
        <v>-51.300000000000011</v>
      </c>
      <c r="E22" t="s">
        <v>90</v>
      </c>
    </row>
    <row r="23" spans="1:5" ht="16">
      <c r="A23" t="s">
        <v>91</v>
      </c>
      <c r="B23" s="1">
        <v>150</v>
      </c>
      <c r="C23" s="1">
        <v>0</v>
      </c>
      <c r="D23" s="1">
        <f t="shared" si="0"/>
        <v>150</v>
      </c>
    </row>
    <row r="24" spans="1:5" ht="16">
      <c r="D24" s="1" t="str">
        <f t="shared" si="0"/>
        <v/>
      </c>
    </row>
    <row r="25" spans="1:5" ht="17" thickBot="1">
      <c r="D25" s="1">
        <f>SUM(D2:D24)</f>
        <v>-152.05000000000007</v>
      </c>
    </row>
    <row r="26" spans="1:5" ht="17" thickBot="1">
      <c r="A26" s="3" t="s">
        <v>39</v>
      </c>
      <c r="B26" s="7">
        <f>-SUM(B2:B25)</f>
        <v>327.05000000000018</v>
      </c>
      <c r="C26" s="7">
        <f>-SUM(C2:C25)</f>
        <v>175.00000000000006</v>
      </c>
      <c r="D26" s="8">
        <f>B26+D25</f>
        <v>175.00000000000011</v>
      </c>
    </row>
    <row r="27" spans="1:5" ht="16">
      <c r="B27" s="1" t="s">
        <v>40</v>
      </c>
      <c r="C27" s="1" t="s">
        <v>41</v>
      </c>
      <c r="D27" s="1" t="s">
        <v>42</v>
      </c>
      <c r="E27">
        <v>215</v>
      </c>
    </row>
  </sheetData>
  <mergeCells count="1">
    <mergeCell ref="A15:C15"/>
  </mergeCells>
  <pageMargins left="0" right="0" top="0.39370078740157477" bottom="0.39370078740157477" header="0" footer="0"/>
  <headerFooter>
    <oddHeader>&amp;C&amp;A</oddHeader>
    <oddFooter>&amp;CPage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baseColWidth="10" defaultRowHeight="12.75"/>
  <cols>
    <col min="1" max="1" width="41.6640625" customWidth="1"/>
    <col min="2" max="2" width="14.1640625" style="1" customWidth="1"/>
    <col min="3" max="3" width="15" style="1" customWidth="1"/>
    <col min="4" max="4" width="19.5" style="1" customWidth="1"/>
    <col min="5" max="5" width="86.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6">
      <c r="A2" t="s">
        <v>5</v>
      </c>
      <c r="B2" s="1">
        <f>July!B2</f>
        <v>-2923.57</v>
      </c>
      <c r="C2" s="1">
        <f>B2</f>
        <v>-2923.57</v>
      </c>
      <c r="D2" s="1">
        <f t="shared" ref="D2:D23" si="0">IF(ISBLANK(C2),"",B2-C2)</f>
        <v>0</v>
      </c>
    </row>
    <row r="3" spans="1:5" ht="16">
      <c r="A3" t="s">
        <v>71</v>
      </c>
      <c r="B3" s="1">
        <v>549.29</v>
      </c>
      <c r="C3" s="1">
        <v>549.29</v>
      </c>
      <c r="D3" s="1">
        <f t="shared" si="0"/>
        <v>0</v>
      </c>
    </row>
    <row r="4" spans="1:5" ht="16">
      <c r="A4" t="s">
        <v>6</v>
      </c>
      <c r="B4" s="1">
        <v>490.64</v>
      </c>
      <c r="C4" s="1">
        <f>B4</f>
        <v>490.64</v>
      </c>
      <c r="D4" s="1">
        <f t="shared" si="0"/>
        <v>0</v>
      </c>
    </row>
    <row r="5" spans="1:5" ht="16">
      <c r="A5" t="s">
        <v>92</v>
      </c>
      <c r="B5" s="1">
        <v>170</v>
      </c>
      <c r="C5" s="1">
        <f>40+40+82.34</f>
        <v>162.34</v>
      </c>
      <c r="D5" s="1">
        <f t="shared" si="0"/>
        <v>7.6599999999999966</v>
      </c>
      <c r="E5" t="s">
        <v>93</v>
      </c>
    </row>
    <row r="6" spans="1:5" ht="16">
      <c r="A6" t="s">
        <v>7</v>
      </c>
      <c r="B6" s="1">
        <v>110</v>
      </c>
      <c r="C6" s="1">
        <v>0</v>
      </c>
      <c r="D6" s="1">
        <f t="shared" si="0"/>
        <v>110</v>
      </c>
    </row>
    <row r="7" spans="1:5" ht="16">
      <c r="A7" t="s">
        <v>8</v>
      </c>
      <c r="B7" s="1">
        <v>50</v>
      </c>
      <c r="C7" s="1">
        <v>50</v>
      </c>
      <c r="D7" s="1">
        <f t="shared" si="0"/>
        <v>0</v>
      </c>
    </row>
    <row r="8" spans="1:5" ht="16">
      <c r="A8" t="s">
        <v>44</v>
      </c>
      <c r="B8" s="1">
        <v>55</v>
      </c>
      <c r="C8" s="1">
        <v>0</v>
      </c>
      <c r="D8" s="1">
        <f t="shared" si="0"/>
        <v>55</v>
      </c>
    </row>
    <row r="9" spans="1:5" ht="16">
      <c r="A9" t="s">
        <v>45</v>
      </c>
      <c r="B9" s="1">
        <v>30</v>
      </c>
      <c r="C9" s="1">
        <f>0.99+29.24</f>
        <v>30.229999999999997</v>
      </c>
      <c r="D9" s="1">
        <f t="shared" si="0"/>
        <v>-0.22999999999999687</v>
      </c>
      <c r="E9" t="s">
        <v>94</v>
      </c>
    </row>
    <row r="10" spans="1:5" ht="16">
      <c r="A10" t="s">
        <v>95</v>
      </c>
      <c r="B10" s="1">
        <v>50</v>
      </c>
      <c r="C10" s="1">
        <f>7.76+30</f>
        <v>37.76</v>
      </c>
      <c r="D10" s="1">
        <f t="shared" si="0"/>
        <v>12.240000000000002</v>
      </c>
      <c r="E10" t="s">
        <v>96</v>
      </c>
    </row>
    <row r="11" spans="1:5" ht="16">
      <c r="A11" t="s">
        <v>97</v>
      </c>
      <c r="B11" s="1">
        <v>50</v>
      </c>
      <c r="C11" s="1">
        <v>135</v>
      </c>
      <c r="D11" s="1">
        <f t="shared" si="0"/>
        <v>-85</v>
      </c>
      <c r="E11" t="s">
        <v>98</v>
      </c>
    </row>
    <row r="12" spans="1:5" ht="16">
      <c r="A12" t="s">
        <v>99</v>
      </c>
      <c r="B12" s="1">
        <v>50</v>
      </c>
      <c r="C12" s="1">
        <v>40.340000000000003</v>
      </c>
      <c r="D12" s="1">
        <f t="shared" si="0"/>
        <v>9.6599999999999966</v>
      </c>
      <c r="E12" t="s">
        <v>100</v>
      </c>
    </row>
    <row r="13" spans="1:5" ht="16">
      <c r="A13" t="s">
        <v>101</v>
      </c>
      <c r="B13" s="1">
        <v>50</v>
      </c>
      <c r="C13" s="1">
        <f>43.28+18.5</f>
        <v>61.78</v>
      </c>
      <c r="D13" s="1">
        <f t="shared" si="0"/>
        <v>-11.780000000000001</v>
      </c>
      <c r="E13" t="s">
        <v>102</v>
      </c>
    </row>
    <row r="14" spans="1:5" ht="16">
      <c r="A14" t="s">
        <v>103</v>
      </c>
      <c r="B14" s="1">
        <v>50</v>
      </c>
      <c r="C14" s="1">
        <f>30+15+4.6</f>
        <v>49.6</v>
      </c>
      <c r="D14" s="1">
        <f t="shared" si="0"/>
        <v>0.39999999999999858</v>
      </c>
      <c r="E14" t="s">
        <v>104</v>
      </c>
    </row>
    <row r="15" spans="1:5" ht="17" thickBot="1">
      <c r="A15" t="s">
        <v>14</v>
      </c>
      <c r="B15" s="1">
        <v>80</v>
      </c>
      <c r="C15" s="1">
        <v>69.33</v>
      </c>
      <c r="D15" s="1">
        <f t="shared" si="0"/>
        <v>10.670000000000002</v>
      </c>
    </row>
    <row r="16" spans="1:5" ht="17" thickBot="1">
      <c r="A16" s="6" t="s">
        <v>16</v>
      </c>
      <c r="B16" s="6"/>
      <c r="C16" s="6"/>
      <c r="D16" s="1" t="str">
        <f t="shared" si="0"/>
        <v/>
      </c>
    </row>
    <row r="17" spans="1:5" ht="16">
      <c r="A17" t="s">
        <v>21</v>
      </c>
      <c r="B17" s="1">
        <v>75</v>
      </c>
      <c r="C17" s="1">
        <f>11+11+11+11+11+11</f>
        <v>66</v>
      </c>
      <c r="D17" s="1">
        <f t="shared" si="0"/>
        <v>9</v>
      </c>
      <c r="E17" t="s">
        <v>105</v>
      </c>
    </row>
    <row r="18" spans="1:5" ht="16">
      <c r="A18" t="s">
        <v>83</v>
      </c>
      <c r="B18" s="1">
        <v>20</v>
      </c>
      <c r="C18" s="1">
        <f>17.27+3.39+6.5</f>
        <v>27.16</v>
      </c>
      <c r="D18" s="1">
        <f t="shared" si="0"/>
        <v>-7.16</v>
      </c>
      <c r="E18" t="s">
        <v>106</v>
      </c>
    </row>
    <row r="19" spans="1:5" ht="16">
      <c r="A19" t="s">
        <v>85</v>
      </c>
      <c r="B19" s="1">
        <v>150</v>
      </c>
      <c r="C19" s="1">
        <f>80.85+15.94+9.99</f>
        <v>106.77999999999999</v>
      </c>
      <c r="D19" s="1">
        <f t="shared" si="0"/>
        <v>43.220000000000013</v>
      </c>
      <c r="E19" t="s">
        <v>107</v>
      </c>
    </row>
    <row r="20" spans="1:5" ht="16">
      <c r="A20" t="s">
        <v>31</v>
      </c>
      <c r="B20" s="1">
        <v>50</v>
      </c>
      <c r="C20" s="1">
        <v>49.99</v>
      </c>
      <c r="D20" s="1">
        <f t="shared" si="0"/>
        <v>9.9999999999980105E-3</v>
      </c>
      <c r="E20" t="s">
        <v>108</v>
      </c>
    </row>
    <row r="21" spans="1:5" ht="16">
      <c r="A21" t="s">
        <v>33</v>
      </c>
      <c r="B21" s="1">
        <v>50</v>
      </c>
      <c r="C21" s="1">
        <f>21.89+27.47+7.98+9+21.99+9.99+18.68</f>
        <v>117</v>
      </c>
      <c r="D21" s="1">
        <f t="shared" si="0"/>
        <v>-67</v>
      </c>
      <c r="E21" t="s">
        <v>109</v>
      </c>
    </row>
    <row r="22" spans="1:5" ht="16">
      <c r="A22" t="s">
        <v>110</v>
      </c>
      <c r="B22" s="1">
        <v>100</v>
      </c>
      <c r="C22" s="1">
        <f>55.25+49</f>
        <v>104.25</v>
      </c>
      <c r="D22" s="1">
        <f t="shared" si="0"/>
        <v>-4.25</v>
      </c>
      <c r="E22" t="s">
        <v>111</v>
      </c>
    </row>
    <row r="23" spans="1:5" ht="16">
      <c r="A23" t="s">
        <v>112</v>
      </c>
      <c r="B23" s="1">
        <v>350</v>
      </c>
      <c r="C23" s="1">
        <f>32+159+100</f>
        <v>291</v>
      </c>
      <c r="D23" s="1">
        <f t="shared" si="0"/>
        <v>59</v>
      </c>
      <c r="E23" t="s">
        <v>113</v>
      </c>
    </row>
    <row r="25" spans="1:5" ht="17" thickBot="1">
      <c r="D25" s="1">
        <f>SUM(D2:D24)</f>
        <v>141.44000000000003</v>
      </c>
    </row>
    <row r="26" spans="1:5" ht="17" thickBot="1">
      <c r="A26" s="3" t="s">
        <v>39</v>
      </c>
      <c r="B26" s="7">
        <f>-SUM(B2:B25)</f>
        <v>343.64000000000033</v>
      </c>
      <c r="C26" s="7">
        <f>-SUM(C2:C25)</f>
        <v>485.08000000000061</v>
      </c>
      <c r="D26" s="8">
        <f>B26+D25</f>
        <v>485.08000000000038</v>
      </c>
    </row>
    <row r="27" spans="1:5" ht="16">
      <c r="B27" s="1" t="s">
        <v>40</v>
      </c>
      <c r="C27" s="1" t="s">
        <v>41</v>
      </c>
      <c r="D27" s="1" t="s">
        <v>42</v>
      </c>
    </row>
  </sheetData>
  <mergeCells count="1">
    <mergeCell ref="A16:C16"/>
  </mergeCells>
  <pageMargins left="0" right="0" top="0.39370078740157477" bottom="0.39370078740157477" header="0" footer="0"/>
  <headerFooter>
    <oddHeader>&amp;C&amp;A</oddHeader>
    <oddFooter>&amp;CPage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baseColWidth="10" defaultRowHeight="12.75"/>
  <cols>
    <col min="1" max="1" width="41.6640625" customWidth="1"/>
    <col min="2" max="2" width="14.1640625" style="1" customWidth="1"/>
    <col min="3" max="3" width="15" style="1" customWidth="1"/>
    <col min="4" max="4" width="19.5" style="1" customWidth="1"/>
    <col min="5" max="5" width="119.832031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6">
      <c r="A2" t="s">
        <v>5</v>
      </c>
      <c r="B2" s="1">
        <f>July!B2</f>
        <v>-2923.57</v>
      </c>
      <c r="C2" s="1">
        <f>B2</f>
        <v>-2923.57</v>
      </c>
      <c r="D2" s="1">
        <f t="shared" ref="D2:D24" si="0">IF(ISBLANK(C2),"",B2-C2)</f>
        <v>0</v>
      </c>
    </row>
    <row r="3" spans="1:5" ht="16">
      <c r="A3" t="s">
        <v>71</v>
      </c>
      <c r="B3" s="1">
        <v>549.29</v>
      </c>
      <c r="C3" s="1">
        <v>549.29</v>
      </c>
      <c r="D3" s="1">
        <f t="shared" si="0"/>
        <v>0</v>
      </c>
    </row>
    <row r="4" spans="1:5" ht="16">
      <c r="A4" t="s">
        <v>6</v>
      </c>
      <c r="B4" s="1">
        <v>489.93</v>
      </c>
      <c r="C4" s="1">
        <v>492.99</v>
      </c>
      <c r="D4" s="1">
        <f t="shared" si="0"/>
        <v>-3.0600000000000023</v>
      </c>
    </row>
    <row r="5" spans="1:5" ht="16">
      <c r="A5" t="s">
        <v>114</v>
      </c>
      <c r="B5" s="1">
        <f>48+151</f>
        <v>199</v>
      </c>
      <c r="C5" s="1">
        <v>48.12</v>
      </c>
      <c r="D5" s="1">
        <f t="shared" si="0"/>
        <v>150.88</v>
      </c>
      <c r="E5" t="s">
        <v>115</v>
      </c>
    </row>
    <row r="6" spans="1:5" ht="16">
      <c r="A6" t="s">
        <v>7</v>
      </c>
      <c r="B6" s="1">
        <v>110</v>
      </c>
      <c r="C6" s="1">
        <v>0</v>
      </c>
      <c r="D6" s="1">
        <f t="shared" si="0"/>
        <v>110</v>
      </c>
      <c r="E6" t="s">
        <v>116</v>
      </c>
    </row>
    <row r="7" spans="1:5" ht="16">
      <c r="A7" t="s">
        <v>8</v>
      </c>
      <c r="B7" s="1">
        <v>50</v>
      </c>
      <c r="C7" s="1">
        <v>0</v>
      </c>
      <c r="D7" s="1">
        <f t="shared" si="0"/>
        <v>50</v>
      </c>
    </row>
    <row r="8" spans="1:5" ht="16">
      <c r="A8" t="s">
        <v>44</v>
      </c>
      <c r="B8" s="1">
        <v>55</v>
      </c>
      <c r="C8" s="1">
        <v>53.3</v>
      </c>
      <c r="D8" s="1">
        <f t="shared" si="0"/>
        <v>1.7000000000000028</v>
      </c>
    </row>
    <row r="9" spans="1:5" ht="16">
      <c r="A9" t="s">
        <v>45</v>
      </c>
      <c r="B9" s="1">
        <v>30</v>
      </c>
      <c r="C9" s="1">
        <v>9.35</v>
      </c>
      <c r="D9" s="1">
        <f t="shared" si="0"/>
        <v>20.65</v>
      </c>
      <c r="E9" t="s">
        <v>117</v>
      </c>
    </row>
    <row r="10" spans="1:5" ht="16">
      <c r="A10" t="s">
        <v>118</v>
      </c>
      <c r="B10" s="1">
        <v>50</v>
      </c>
      <c r="C10" s="1">
        <f>56.5+19+56.88</f>
        <v>132.38</v>
      </c>
      <c r="D10" s="1">
        <f t="shared" si="0"/>
        <v>-82.38</v>
      </c>
      <c r="E10" t="s">
        <v>119</v>
      </c>
    </row>
    <row r="11" spans="1:5" ht="16">
      <c r="A11" t="s">
        <v>120</v>
      </c>
      <c r="B11" s="1">
        <v>50</v>
      </c>
      <c r="C11" s="1">
        <f>30+8.8+15.92</f>
        <v>54.72</v>
      </c>
      <c r="D11" s="1">
        <f t="shared" si="0"/>
        <v>-4.7199999999999989</v>
      </c>
      <c r="E11" t="s">
        <v>121</v>
      </c>
    </row>
    <row r="12" spans="1:5" ht="16">
      <c r="A12" t="s">
        <v>122</v>
      </c>
      <c r="B12" s="1">
        <v>50</v>
      </c>
      <c r="C12" s="1">
        <f>7.95+30+15+56.88+3.7</f>
        <v>113.53000000000002</v>
      </c>
      <c r="D12" s="1">
        <f t="shared" si="0"/>
        <v>-63.530000000000015</v>
      </c>
      <c r="E12" t="s">
        <v>123</v>
      </c>
    </row>
    <row r="13" spans="1:5" ht="16">
      <c r="A13" t="s">
        <v>124</v>
      </c>
      <c r="B13" s="1">
        <v>50</v>
      </c>
      <c r="C13" s="1">
        <v>21</v>
      </c>
      <c r="D13" s="1">
        <f t="shared" si="0"/>
        <v>29</v>
      </c>
      <c r="E13" t="s">
        <v>125</v>
      </c>
    </row>
    <row r="14" spans="1:5" ht="16">
      <c r="A14" t="s">
        <v>13</v>
      </c>
      <c r="B14" s="1">
        <v>0</v>
      </c>
      <c r="D14" s="1" t="str">
        <f t="shared" si="0"/>
        <v/>
      </c>
    </row>
    <row r="15" spans="1:5" ht="17" thickBot="1">
      <c r="A15" t="s">
        <v>14</v>
      </c>
      <c r="B15" s="1">
        <v>80</v>
      </c>
      <c r="C15" s="1">
        <f>44.65+65.87</f>
        <v>110.52000000000001</v>
      </c>
      <c r="D15" s="1">
        <f t="shared" si="0"/>
        <v>-30.52000000000001</v>
      </c>
    </row>
    <row r="16" spans="1:5" ht="17" thickBot="1">
      <c r="A16" s="6" t="s">
        <v>16</v>
      </c>
      <c r="B16" s="6"/>
      <c r="C16" s="6"/>
      <c r="D16" s="1" t="str">
        <f t="shared" si="0"/>
        <v/>
      </c>
    </row>
    <row r="17" spans="1:5" ht="16">
      <c r="A17" t="s">
        <v>21</v>
      </c>
      <c r="B17" s="1">
        <v>75</v>
      </c>
      <c r="C17" s="1">
        <f>4.99+20+10.95+10.95+20+12.95</f>
        <v>79.84</v>
      </c>
      <c r="D17" s="1">
        <f t="shared" si="0"/>
        <v>-4.8400000000000034</v>
      </c>
      <c r="E17" t="s">
        <v>126</v>
      </c>
    </row>
    <row r="18" spans="1:5" ht="16">
      <c r="A18" t="s">
        <v>83</v>
      </c>
      <c r="B18" s="1">
        <v>30</v>
      </c>
      <c r="C18" s="1">
        <v>31</v>
      </c>
      <c r="D18" s="1">
        <f t="shared" si="0"/>
        <v>-1</v>
      </c>
      <c r="E18" t="s">
        <v>127</v>
      </c>
    </row>
    <row r="19" spans="1:5" ht="16">
      <c r="A19" t="s">
        <v>85</v>
      </c>
      <c r="B19" s="1">
        <v>150</v>
      </c>
      <c r="C19" s="1">
        <f>19.97</f>
        <v>19.97</v>
      </c>
      <c r="D19" s="1">
        <f t="shared" si="0"/>
        <v>130.03</v>
      </c>
      <c r="E19" t="s">
        <v>59</v>
      </c>
    </row>
    <row r="20" spans="1:5" ht="16">
      <c r="A20" t="s">
        <v>31</v>
      </c>
      <c r="B20" s="1">
        <v>50</v>
      </c>
      <c r="C20" s="1">
        <v>0</v>
      </c>
      <c r="D20" s="1">
        <f t="shared" si="0"/>
        <v>50</v>
      </c>
    </row>
    <row r="21" spans="1:5" ht="16">
      <c r="A21" t="s">
        <v>33</v>
      </c>
      <c r="B21" s="1">
        <v>50</v>
      </c>
      <c r="C21" s="1">
        <f>16.24+17.84</f>
        <v>34.08</v>
      </c>
      <c r="D21" s="1">
        <f t="shared" si="0"/>
        <v>15.920000000000002</v>
      </c>
      <c r="E21" t="s">
        <v>128</v>
      </c>
    </row>
    <row r="22" spans="1:5" ht="16">
      <c r="A22" t="s">
        <v>129</v>
      </c>
      <c r="B22" s="1">
        <v>300</v>
      </c>
      <c r="C22" s="1">
        <f>54.59+80+56+47+30+12+15+9+9.17</f>
        <v>312.76000000000005</v>
      </c>
      <c r="D22" s="1">
        <f t="shared" si="0"/>
        <v>-12.760000000000048</v>
      </c>
      <c r="E22" t="s">
        <v>130</v>
      </c>
    </row>
    <row r="23" spans="1:5" ht="16">
      <c r="A23" t="s">
        <v>110</v>
      </c>
      <c r="B23" s="1">
        <v>100</v>
      </c>
      <c r="C23" s="1">
        <f>54.5+85</f>
        <v>139.5</v>
      </c>
      <c r="D23" s="1">
        <f t="shared" si="0"/>
        <v>-39.5</v>
      </c>
      <c r="E23" t="s">
        <v>131</v>
      </c>
    </row>
    <row r="24" spans="1:5" ht="16">
      <c r="A24" t="s">
        <v>132</v>
      </c>
      <c r="B24" s="1">
        <v>250</v>
      </c>
      <c r="C24" s="1">
        <f>30+272</f>
        <v>302</v>
      </c>
      <c r="D24" s="1">
        <f t="shared" si="0"/>
        <v>-52</v>
      </c>
      <c r="E24" t="s">
        <v>133</v>
      </c>
    </row>
    <row r="26" spans="1:5" ht="17" thickBot="1">
      <c r="D26" s="1">
        <f>SUM(D2:D24)</f>
        <v>263.86999999999989</v>
      </c>
    </row>
    <row r="27" spans="1:5" ht="17" thickBot="1">
      <c r="A27" s="3" t="s">
        <v>39</v>
      </c>
      <c r="B27" s="7">
        <f>-SUM(B2:B24)</f>
        <v>155.35000000000014</v>
      </c>
      <c r="C27" s="7">
        <f>-SUM(C2:C24)</f>
        <v>419.22000000000048</v>
      </c>
      <c r="D27" s="8">
        <f>B27+D26</f>
        <v>419.22</v>
      </c>
    </row>
    <row r="28" spans="1:5" ht="16">
      <c r="B28" s="1" t="s">
        <v>40</v>
      </c>
      <c r="C28" s="1" t="s">
        <v>41</v>
      </c>
      <c r="D28" s="1" t="s">
        <v>42</v>
      </c>
    </row>
  </sheetData>
  <mergeCells count="1">
    <mergeCell ref="A16:C16"/>
  </mergeCells>
  <pageMargins left="0" right="0" top="0.39370078740157477" bottom="0.39370078740157477" header="0" footer="0"/>
  <headerFooter>
    <oddHeader>&amp;C&amp;A</oddHeader>
    <oddFooter>&amp;CPage 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9"/>
  <sheetViews>
    <sheetView workbookViewId="0"/>
  </sheetViews>
  <sheetFormatPr baseColWidth="10" defaultRowHeight="12.75"/>
  <cols>
    <col min="1" max="1" width="41.6640625" customWidth="1"/>
    <col min="2" max="2" width="14.1640625" style="1" customWidth="1"/>
    <col min="3" max="3" width="15" style="1" customWidth="1"/>
    <col min="4" max="4" width="19.5" style="1" customWidth="1"/>
    <col min="5" max="5" width="119.832031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6">
      <c r="A2" t="s">
        <v>5</v>
      </c>
      <c r="B2" s="1">
        <f>July!B2</f>
        <v>-2923.57</v>
      </c>
      <c r="C2" s="1">
        <f>B2</f>
        <v>-2923.57</v>
      </c>
      <c r="D2" s="1">
        <f t="shared" ref="D2:D25" si="0">IF(ISBLANK(C2),"",B2-C2)</f>
        <v>0</v>
      </c>
    </row>
    <row r="3" spans="1:5" ht="16">
      <c r="A3" t="s">
        <v>71</v>
      </c>
      <c r="B3" s="1">
        <v>549.29</v>
      </c>
      <c r="C3" s="1">
        <v>549.29</v>
      </c>
      <c r="D3" s="1">
        <f t="shared" si="0"/>
        <v>0</v>
      </c>
    </row>
    <row r="4" spans="1:5" ht="16">
      <c r="A4" t="s">
        <v>6</v>
      </c>
      <c r="B4" s="1">
        <v>564.99</v>
      </c>
      <c r="C4" s="1">
        <f>B4</f>
        <v>564.99</v>
      </c>
      <c r="D4" s="1">
        <f t="shared" si="0"/>
        <v>0</v>
      </c>
    </row>
    <row r="5" spans="1:5" ht="16">
      <c r="A5" t="s">
        <v>114</v>
      </c>
      <c r="B5" s="1">
        <v>199</v>
      </c>
      <c r="C5" s="1">
        <v>238.8</v>
      </c>
      <c r="D5" s="1">
        <f t="shared" si="0"/>
        <v>-39.800000000000011</v>
      </c>
      <c r="E5" t="s">
        <v>134</v>
      </c>
    </row>
    <row r="6" spans="1:5" ht="16">
      <c r="A6" t="s">
        <v>7</v>
      </c>
      <c r="B6" s="1">
        <v>110</v>
      </c>
      <c r="C6" s="1">
        <v>0</v>
      </c>
      <c r="D6" s="1">
        <f t="shared" si="0"/>
        <v>110</v>
      </c>
      <c r="E6" t="s">
        <v>116</v>
      </c>
    </row>
    <row r="7" spans="1:5" ht="16">
      <c r="A7" t="s">
        <v>8</v>
      </c>
      <c r="B7" s="1">
        <v>75</v>
      </c>
      <c r="C7" s="1">
        <f>50+5.5</f>
        <v>55.5</v>
      </c>
      <c r="D7" s="1">
        <f t="shared" si="0"/>
        <v>19.5</v>
      </c>
      <c r="E7" t="s">
        <v>135</v>
      </c>
    </row>
    <row r="8" spans="1:5" ht="16">
      <c r="A8" t="s">
        <v>44</v>
      </c>
      <c r="B8" s="1">
        <v>55</v>
      </c>
      <c r="C8" s="1">
        <v>0</v>
      </c>
      <c r="D8" s="1">
        <f t="shared" si="0"/>
        <v>55</v>
      </c>
    </row>
    <row r="9" spans="1:5" ht="16">
      <c r="A9" t="s">
        <v>45</v>
      </c>
      <c r="B9" s="1">
        <v>30</v>
      </c>
      <c r="C9" s="1">
        <v>0</v>
      </c>
      <c r="D9" s="1">
        <f t="shared" si="0"/>
        <v>30</v>
      </c>
    </row>
    <row r="10" spans="1:5" ht="16">
      <c r="A10" t="s">
        <v>136</v>
      </c>
      <c r="B10" s="1">
        <v>50</v>
      </c>
      <c r="C10" s="1">
        <v>50</v>
      </c>
      <c r="D10" s="1">
        <f t="shared" si="0"/>
        <v>0</v>
      </c>
    </row>
    <row r="11" spans="1:5" ht="16">
      <c r="A11" t="s">
        <v>137</v>
      </c>
      <c r="B11" s="1">
        <v>50</v>
      </c>
      <c r="C11" s="1">
        <f>1.8+6.8</f>
        <v>8.6</v>
      </c>
      <c r="D11" s="1">
        <f t="shared" si="0"/>
        <v>41.4</v>
      </c>
      <c r="E11" t="s">
        <v>138</v>
      </c>
    </row>
    <row r="12" spans="1:5" ht="16">
      <c r="A12" t="s">
        <v>139</v>
      </c>
      <c r="B12" s="1">
        <v>50</v>
      </c>
      <c r="C12" s="1">
        <f>39.8+100+50</f>
        <v>189.8</v>
      </c>
      <c r="D12" s="1">
        <f t="shared" si="0"/>
        <v>-139.80000000000001</v>
      </c>
      <c r="E12" t="s">
        <v>140</v>
      </c>
    </row>
    <row r="13" spans="1:5" ht="16">
      <c r="A13" t="s">
        <v>141</v>
      </c>
      <c r="B13" s="1">
        <v>50</v>
      </c>
      <c r="C13" s="1">
        <f>3.3+2.1</f>
        <v>5.4</v>
      </c>
      <c r="D13" s="1">
        <f t="shared" si="0"/>
        <v>44.6</v>
      </c>
      <c r="E13" t="s">
        <v>142</v>
      </c>
    </row>
    <row r="14" spans="1:5" ht="16">
      <c r="A14" t="s">
        <v>13</v>
      </c>
      <c r="B14" s="1">
        <v>0</v>
      </c>
      <c r="D14" s="1" t="str">
        <f t="shared" si="0"/>
        <v/>
      </c>
    </row>
    <row r="15" spans="1:5" ht="17" thickBot="1">
      <c r="A15" t="s">
        <v>14</v>
      </c>
      <c r="B15" s="1">
        <v>80</v>
      </c>
      <c r="C15" s="1">
        <f>63.37+11.99+68.15</f>
        <v>143.51</v>
      </c>
      <c r="D15" s="1">
        <f t="shared" si="0"/>
        <v>-63.509999999999991</v>
      </c>
      <c r="E15" t="s">
        <v>143</v>
      </c>
    </row>
    <row r="16" spans="1:5" ht="17" thickBot="1">
      <c r="A16" s="6" t="s">
        <v>16</v>
      </c>
      <c r="B16" s="6"/>
      <c r="C16" s="6"/>
      <c r="D16" s="1" t="str">
        <f t="shared" si="0"/>
        <v/>
      </c>
    </row>
    <row r="17" spans="1:5" ht="16">
      <c r="A17" t="s">
        <v>21</v>
      </c>
      <c r="B17" s="1">
        <v>75</v>
      </c>
      <c r="C17" s="1">
        <f>14.15+20+14.15+14.15</f>
        <v>62.449999999999996</v>
      </c>
      <c r="D17" s="1">
        <f t="shared" si="0"/>
        <v>12.550000000000004</v>
      </c>
      <c r="E17" s="9" t="s">
        <v>144</v>
      </c>
    </row>
    <row r="18" spans="1:5" ht="16">
      <c r="A18" t="s">
        <v>83</v>
      </c>
      <c r="B18" s="1">
        <v>30</v>
      </c>
      <c r="C18" s="1">
        <v>20</v>
      </c>
      <c r="D18" s="1">
        <f t="shared" si="0"/>
        <v>10</v>
      </c>
      <c r="E18" t="s">
        <v>145</v>
      </c>
    </row>
    <row r="19" spans="1:5" ht="16">
      <c r="A19" t="s">
        <v>85</v>
      </c>
      <c r="B19" s="1">
        <v>100</v>
      </c>
      <c r="C19" s="1">
        <v>0</v>
      </c>
      <c r="D19" s="1">
        <f t="shared" si="0"/>
        <v>100</v>
      </c>
    </row>
    <row r="20" spans="1:5" ht="16">
      <c r="A20" t="s">
        <v>31</v>
      </c>
      <c r="B20" s="1">
        <v>50</v>
      </c>
      <c r="C20" s="1">
        <v>0</v>
      </c>
      <c r="D20" s="1">
        <f t="shared" si="0"/>
        <v>50</v>
      </c>
    </row>
    <row r="21" spans="1:5" ht="16">
      <c r="A21" t="s">
        <v>33</v>
      </c>
      <c r="B21" s="1">
        <v>50</v>
      </c>
      <c r="C21" s="1">
        <f>1.5+6.99</f>
        <v>8.49</v>
      </c>
      <c r="D21" s="1">
        <f t="shared" si="0"/>
        <v>41.51</v>
      </c>
      <c r="E21" t="s">
        <v>146</v>
      </c>
    </row>
    <row r="22" spans="1:5" ht="40" customHeight="1">
      <c r="A22" t="s">
        <v>147</v>
      </c>
      <c r="B22" s="1">
        <v>300</v>
      </c>
      <c r="C22" s="1">
        <f>76+13.7+8+8.66+35.3+64.98+134+14+4.2+18.67+12.05</f>
        <v>389.56</v>
      </c>
      <c r="D22" s="1">
        <f t="shared" si="0"/>
        <v>-89.56</v>
      </c>
      <c r="E22" s="10" t="s">
        <v>148</v>
      </c>
    </row>
    <row r="23" spans="1:5" ht="16">
      <c r="A23" t="s">
        <v>149</v>
      </c>
      <c r="B23" s="1">
        <v>100</v>
      </c>
      <c r="C23" s="1">
        <f>2*67+116.3</f>
        <v>250.3</v>
      </c>
      <c r="D23" s="1">
        <f t="shared" si="0"/>
        <v>-150.30000000000001</v>
      </c>
      <c r="E23" t="s">
        <v>150</v>
      </c>
    </row>
    <row r="24" spans="1:5" ht="16">
      <c r="A24" t="s">
        <v>151</v>
      </c>
      <c r="B24" s="1">
        <v>200</v>
      </c>
      <c r="C24" s="1">
        <f>49 +5.6+49+40+5.46+0.45+14.69+2.2+54.35</f>
        <v>220.74999999999997</v>
      </c>
      <c r="D24" s="1">
        <f t="shared" si="0"/>
        <v>-20.749999999999972</v>
      </c>
      <c r="E24" t="s">
        <v>152</v>
      </c>
    </row>
    <row r="25" spans="1:5" ht="16">
      <c r="A25" t="s">
        <v>110</v>
      </c>
      <c r="B25" s="1">
        <v>50</v>
      </c>
      <c r="C25" s="1">
        <f>37.6</f>
        <v>37.6</v>
      </c>
      <c r="D25" s="1">
        <f t="shared" si="0"/>
        <v>12.399999999999999</v>
      </c>
      <c r="E25" t="s">
        <v>153</v>
      </c>
    </row>
    <row r="27" spans="1:5" ht="17" thickBot="1">
      <c r="D27" s="1">
        <f>SUM(D2:D25)</f>
        <v>23.240000000000002</v>
      </c>
    </row>
    <row r="28" spans="1:5" ht="17" thickBot="1">
      <c r="A28" s="3" t="s">
        <v>39</v>
      </c>
      <c r="B28" s="7">
        <f>-SUM(B2:B25)</f>
        <v>105.29000000000019</v>
      </c>
      <c r="C28" s="7">
        <f>-SUM(C2:C23)</f>
        <v>386.88000000000028</v>
      </c>
      <c r="D28" s="8">
        <f>B28+D27</f>
        <v>128.5300000000002</v>
      </c>
    </row>
    <row r="29" spans="1:5" ht="16">
      <c r="B29" s="1" t="s">
        <v>40</v>
      </c>
      <c r="C29" s="1" t="s">
        <v>41</v>
      </c>
      <c r="D29" s="1" t="s">
        <v>42</v>
      </c>
    </row>
  </sheetData>
  <mergeCells count="1">
    <mergeCell ref="A16:C16"/>
  </mergeCells>
  <pageMargins left="0" right="0" top="0.39370078740157477" bottom="0.39370078740157477" header="0" footer="0"/>
  <headerFooter>
    <oddHeader>&amp;C&amp;A</oddHeader>
    <oddFooter>&amp;CPage &amp;P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baseColWidth="10" defaultRowHeight="12.75"/>
  <cols>
    <col min="1" max="1" width="41.6640625" customWidth="1"/>
    <col min="2" max="2" width="14.1640625" style="1" customWidth="1"/>
    <col min="3" max="3" width="15" style="1" customWidth="1"/>
    <col min="4" max="4" width="19.5" style="1" customWidth="1"/>
    <col min="5" max="5" width="119.832031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6">
      <c r="A2" t="s">
        <v>5</v>
      </c>
      <c r="B2" s="1">
        <f>July!B2</f>
        <v>-2923.57</v>
      </c>
      <c r="C2" s="1">
        <f>B2</f>
        <v>-2923.57</v>
      </c>
      <c r="D2" s="1">
        <f t="shared" ref="D2:D26" si="0">IF(ISBLANK(C2),"",B2-C2)</f>
        <v>0</v>
      </c>
    </row>
    <row r="3" spans="1:5" ht="16">
      <c r="A3" t="s">
        <v>71</v>
      </c>
      <c r="B3" s="1">
        <v>549.29</v>
      </c>
      <c r="C3" s="1">
        <v>549.29</v>
      </c>
      <c r="D3" s="1">
        <f t="shared" si="0"/>
        <v>0</v>
      </c>
    </row>
    <row r="4" spans="1:5" ht="16">
      <c r="A4" t="s">
        <v>6</v>
      </c>
      <c r="B4" s="1">
        <v>564.99</v>
      </c>
      <c r="C4" s="1">
        <f>B4</f>
        <v>564.99</v>
      </c>
      <c r="D4" s="1">
        <f t="shared" si="0"/>
        <v>0</v>
      </c>
    </row>
    <row r="5" spans="1:5" ht="16">
      <c r="A5" t="s">
        <v>114</v>
      </c>
      <c r="B5" s="1">
        <v>0</v>
      </c>
      <c r="D5" s="1" t="str">
        <f t="shared" si="0"/>
        <v/>
      </c>
    </row>
    <row r="6" spans="1:5" ht="16">
      <c r="A6" t="s">
        <v>7</v>
      </c>
      <c r="B6" s="1">
        <v>110</v>
      </c>
      <c r="C6" s="1">
        <v>0</v>
      </c>
      <c r="D6" s="1">
        <f t="shared" si="0"/>
        <v>110</v>
      </c>
      <c r="E6" t="s">
        <v>116</v>
      </c>
    </row>
    <row r="7" spans="1:5" ht="16">
      <c r="A7" t="s">
        <v>8</v>
      </c>
      <c r="B7" s="1">
        <v>75</v>
      </c>
      <c r="C7" s="1">
        <v>75</v>
      </c>
      <c r="D7" s="1">
        <f t="shared" si="0"/>
        <v>0</v>
      </c>
      <c r="E7" t="s">
        <v>154</v>
      </c>
    </row>
    <row r="8" spans="1:5" ht="16">
      <c r="A8" t="s">
        <v>44</v>
      </c>
      <c r="B8" s="1">
        <v>55</v>
      </c>
      <c r="C8" s="1">
        <v>0</v>
      </c>
      <c r="D8" s="1">
        <f t="shared" si="0"/>
        <v>55</v>
      </c>
    </row>
    <row r="9" spans="1:5" ht="16">
      <c r="A9" t="s">
        <v>45</v>
      </c>
      <c r="B9" s="1">
        <v>30</v>
      </c>
      <c r="C9" s="1">
        <v>0</v>
      </c>
      <c r="D9" s="1">
        <f t="shared" si="0"/>
        <v>30</v>
      </c>
    </row>
    <row r="10" spans="1:5" ht="16">
      <c r="A10" t="s">
        <v>155</v>
      </c>
      <c r="B10" s="1">
        <v>50</v>
      </c>
      <c r="C10" s="1">
        <f>7.99</f>
        <v>7.99</v>
      </c>
      <c r="D10" s="1">
        <f t="shared" si="0"/>
        <v>42.01</v>
      </c>
      <c r="E10" t="s">
        <v>156</v>
      </c>
    </row>
    <row r="11" spans="1:5" ht="16">
      <c r="A11" t="s">
        <v>157</v>
      </c>
      <c r="B11" s="1">
        <v>50</v>
      </c>
      <c r="C11" s="1">
        <f>20+6.75+80+ 2.49+10</f>
        <v>119.24</v>
      </c>
      <c r="D11" s="1">
        <f t="shared" si="0"/>
        <v>-69.239999999999995</v>
      </c>
      <c r="E11" t="s">
        <v>158</v>
      </c>
    </row>
    <row r="12" spans="1:5" ht="16">
      <c r="A12" t="s">
        <v>159</v>
      </c>
      <c r="B12" s="1">
        <v>50</v>
      </c>
      <c r="C12" s="1">
        <v>0</v>
      </c>
      <c r="D12" s="1">
        <f t="shared" si="0"/>
        <v>50</v>
      </c>
    </row>
    <row r="13" spans="1:5" ht="16">
      <c r="A13" t="s">
        <v>160</v>
      </c>
      <c r="B13" s="1">
        <v>50</v>
      </c>
      <c r="C13" s="1">
        <f>40+3.5+21</f>
        <v>64.5</v>
      </c>
      <c r="D13" s="1">
        <f t="shared" si="0"/>
        <v>-14.5</v>
      </c>
      <c r="E13" t="s">
        <v>161</v>
      </c>
    </row>
    <row r="14" spans="1:5" ht="16">
      <c r="A14" t="s">
        <v>162</v>
      </c>
      <c r="B14" s="1">
        <v>50</v>
      </c>
      <c r="C14" s="1">
        <f>4.3+29.06+6.5</f>
        <v>39.86</v>
      </c>
      <c r="D14" s="1">
        <f t="shared" si="0"/>
        <v>10.14</v>
      </c>
      <c r="E14" t="s">
        <v>163</v>
      </c>
    </row>
    <row r="15" spans="1:5" ht="17" thickBot="1">
      <c r="A15" t="s">
        <v>14</v>
      </c>
      <c r="B15" s="1">
        <v>80</v>
      </c>
      <c r="C15" s="1">
        <v>63.37</v>
      </c>
      <c r="D15" s="1">
        <f t="shared" si="0"/>
        <v>16.630000000000003</v>
      </c>
    </row>
    <row r="16" spans="1:5" ht="17" thickBot="1">
      <c r="A16" s="6" t="s">
        <v>16</v>
      </c>
      <c r="B16" s="6"/>
      <c r="C16" s="6"/>
      <c r="D16" s="1" t="str">
        <f t="shared" si="0"/>
        <v/>
      </c>
    </row>
    <row r="17" spans="1:5" ht="16">
      <c r="A17" t="s">
        <v>21</v>
      </c>
      <c r="B17" s="1">
        <v>75</v>
      </c>
      <c r="C17" s="1">
        <f>30+20+34.15+20</f>
        <v>104.15</v>
      </c>
      <c r="D17" s="1">
        <f t="shared" si="0"/>
        <v>-29.150000000000006</v>
      </c>
      <c r="E17" t="s">
        <v>164</v>
      </c>
    </row>
    <row r="18" spans="1:5" ht="16">
      <c r="A18" t="s">
        <v>83</v>
      </c>
      <c r="B18" s="1">
        <v>30</v>
      </c>
      <c r="C18" s="1">
        <v>0</v>
      </c>
      <c r="D18" s="1">
        <f t="shared" si="0"/>
        <v>30</v>
      </c>
    </row>
    <row r="19" spans="1:5" ht="16">
      <c r="A19" t="s">
        <v>85</v>
      </c>
      <c r="B19" s="1">
        <v>50</v>
      </c>
      <c r="C19" s="1">
        <v>0</v>
      </c>
      <c r="D19" s="1">
        <f t="shared" si="0"/>
        <v>50</v>
      </c>
    </row>
    <row r="20" spans="1:5" ht="16">
      <c r="A20" t="s">
        <v>31</v>
      </c>
      <c r="B20" s="1">
        <v>50</v>
      </c>
      <c r="C20" s="1">
        <v>0</v>
      </c>
      <c r="D20" s="1">
        <f t="shared" si="0"/>
        <v>50</v>
      </c>
    </row>
    <row r="21" spans="1:5" ht="16">
      <c r="A21" t="s">
        <v>33</v>
      </c>
      <c r="B21" s="1">
        <v>50</v>
      </c>
      <c r="C21" s="1">
        <f>17.99+15.85+6.99</f>
        <v>40.83</v>
      </c>
      <c r="D21" s="1">
        <f t="shared" si="0"/>
        <v>9.1700000000000017</v>
      </c>
      <c r="E21" t="s">
        <v>165</v>
      </c>
    </row>
    <row r="22" spans="1:5" ht="16">
      <c r="A22" t="s">
        <v>166</v>
      </c>
      <c r="B22" s="1">
        <v>400</v>
      </c>
      <c r="C22" s="1">
        <f>345+17.4+251.23+34.66+17.12+22.14+18.99+25.99+36+61+35+9.99+63.99+11.99+7.49</f>
        <v>957.99</v>
      </c>
      <c r="D22" s="1">
        <f t="shared" si="0"/>
        <v>-557.99</v>
      </c>
      <c r="E22" t="s">
        <v>167</v>
      </c>
    </row>
    <row r="23" spans="1:5" ht="16">
      <c r="A23" t="s">
        <v>168</v>
      </c>
      <c r="B23" s="1">
        <v>200</v>
      </c>
      <c r="C23" s="1">
        <f>40+2+55.8+42+8.7+8.7+11.3+38+5.15</f>
        <v>211.65</v>
      </c>
      <c r="D23" s="1">
        <f t="shared" si="0"/>
        <v>-11.650000000000006</v>
      </c>
      <c r="E23" t="s">
        <v>169</v>
      </c>
    </row>
    <row r="24" spans="1:5" ht="16">
      <c r="A24" t="s">
        <v>170</v>
      </c>
      <c r="B24" s="1">
        <v>150</v>
      </c>
      <c r="C24" s="1">
        <f>10+13+20+20+76+20+241+2.5</f>
        <v>402.5</v>
      </c>
      <c r="D24" s="1">
        <f t="shared" si="0"/>
        <v>-252.5</v>
      </c>
      <c r="E24" t="s">
        <v>171</v>
      </c>
    </row>
    <row r="25" spans="1:5" ht="16">
      <c r="A25" t="s">
        <v>172</v>
      </c>
      <c r="B25" s="1">
        <v>100</v>
      </c>
      <c r="C25" s="1">
        <f>50+50</f>
        <v>100</v>
      </c>
      <c r="D25" s="1">
        <f t="shared" si="0"/>
        <v>0</v>
      </c>
      <c r="E25" t="s">
        <v>173</v>
      </c>
    </row>
    <row r="26" spans="1:5" ht="16">
      <c r="A26" t="s">
        <v>110</v>
      </c>
      <c r="B26" s="1">
        <v>100</v>
      </c>
      <c r="C26" s="1">
        <v>0</v>
      </c>
      <c r="D26" s="1">
        <f t="shared" si="0"/>
        <v>100</v>
      </c>
    </row>
    <row r="28" spans="1:5" ht="17" thickBot="1">
      <c r="D28" s="1">
        <f>SUM(D2:D26)</f>
        <v>-382.08000000000004</v>
      </c>
    </row>
    <row r="29" spans="1:5" ht="17" thickBot="1">
      <c r="A29" s="3" t="s">
        <v>39</v>
      </c>
      <c r="B29" s="7">
        <f>-SUM(B2:B26)</f>
        <v>4.290000000000191</v>
      </c>
      <c r="C29" s="7">
        <f>-SUM(C2:C26)</f>
        <v>-377.78999999999962</v>
      </c>
      <c r="D29" s="8">
        <f>B29+D28</f>
        <v>-377.78999999999985</v>
      </c>
    </row>
    <row r="30" spans="1:5" ht="16">
      <c r="B30" s="1" t="s">
        <v>40</v>
      </c>
      <c r="C30" s="1" t="s">
        <v>41</v>
      </c>
      <c r="D30" s="1" t="s">
        <v>42</v>
      </c>
    </row>
    <row r="34" spans="1:2" ht="16">
      <c r="A34" t="s">
        <v>174</v>
      </c>
      <c r="B34" s="1">
        <v>3094.87</v>
      </c>
    </row>
    <row r="35" spans="1:2" ht="16">
      <c r="A35" t="s">
        <v>175</v>
      </c>
      <c r="B35" s="1">
        <f>2923.56-801.52</f>
        <v>2122.04</v>
      </c>
    </row>
    <row r="36" spans="1:2" ht="16">
      <c r="A36" t="s">
        <v>176</v>
      </c>
      <c r="B36" s="1">
        <f>B34-B35</f>
        <v>972.82999999999993</v>
      </c>
    </row>
  </sheetData>
  <mergeCells count="1">
    <mergeCell ref="A16:C16"/>
  </mergeCells>
  <pageMargins left="0" right="0" top="0.39370078740157477" bottom="0.39370078740157477" header="0" footer="0"/>
  <headerFooter>
    <oddHeader>&amp;C&amp;A</oddHeader>
    <oddFooter>&amp;CPage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3234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424</cp:revision>
  <dcterms:created xsi:type="dcterms:W3CDTF">2019-06-01T11:10:28Z</dcterms:created>
  <dcterms:modified xsi:type="dcterms:W3CDTF">2020-08-17T09:19:24Z</dcterms:modified>
</cp:coreProperties>
</file>